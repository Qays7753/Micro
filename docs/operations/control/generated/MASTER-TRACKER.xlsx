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 Items" sheetId="1" state="visible" r:id="rId1"/>
    <sheet xmlns:r="http://schemas.openxmlformats.org/officeDocument/2006/relationships" name="Executive Status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Active Work" sheetId="4" state="visible" r:id="rId4"/>
    <sheet xmlns:r="http://schemas.openxmlformats.org/officeDocument/2006/relationships" name="Verified" sheetId="5" state="visible" r:id="rId5"/>
    <sheet xmlns:r="http://schemas.openxmlformats.org/officeDocument/2006/relationships" name="Blocked Deferred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Release Gates" sheetId="9" state="visible" r:id="rId9"/>
    <sheet xmlns:r="http://schemas.openxmlformats.org/officeDocument/2006/relationships" name="Change History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0">
    <font>
      <name val="Carlito"/>
      <sz val="11"/>
    </font>
    <font>
      <name val="Arial"/>
      <b val="1"/>
      <color rgb="FF152238"/>
      <sz val="16"/>
    </font>
    <font>
      <name val="Arial"/>
      <i val="1"/>
      <color rgb="FF5B6472"/>
      <sz val="10"/>
    </font>
    <font>
      <name val="Arial"/>
      <b val="1"/>
      <color rgb="FF152238"/>
      <sz val="10"/>
    </font>
    <font>
      <name val="Arial"/>
      <b val="1"/>
      <color rgb="FF152238"/>
      <sz val="12"/>
    </font>
    <font>
      <name val="Arial"/>
      <b val="1"/>
      <color rgb="FFFFFFFF"/>
      <sz val="10"/>
    </font>
    <font>
      <name val="Arial"/>
      <color rgb="FF1F2933"/>
      <sz val="10"/>
    </font>
    <font>
      <name val="Arial"/>
      <b val="1"/>
      <color rgb="FF152238"/>
      <sz val="15"/>
    </font>
    <font>
      <name val="Arial"/>
      <b val="1"/>
      <color rgb="FF991B1B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E9EEF5"/>
      </patternFill>
    </fill>
    <fill>
      <patternFill patternType="solid">
        <fgColor rgb="FF243B53"/>
      </patternFill>
    </fill>
    <fill>
      <patternFill patternType="solid">
        <fgColor rgb="FFFEE2E2"/>
      </patternFill>
    </fill>
    <fill>
      <patternFill patternType="solid">
        <fgColor rgb="00D9EAF7"/>
      </patternFill>
    </fill>
  </fills>
  <borders count="8">
    <border/>
    <border>
      <left style="thin">
        <color rgb="FF243B53"/>
      </left>
      <top style="thin">
        <color rgb="FF243B53"/>
      </top>
      <bottom style="thin">
        <color rgb="FF243B53"/>
      </bottom>
    </border>
    <border>
      <top style="thin">
        <color rgb="FF243B53"/>
      </top>
      <bottom style="thin">
        <color rgb="FF243B53"/>
      </bottom>
    </border>
    <border>
      <right style="thin">
        <color rgb="FF243B53"/>
      </right>
      <top style="thin">
        <color rgb="FF243B53"/>
      </top>
      <bottom style="thin">
        <color rgb="FF243B53"/>
      </bottom>
    </border>
    <border>
      <bottom style="thin">
        <color rgb="FFD9E2EC"/>
      </bottom>
    </border>
    <border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BCCCDC"/>
      </bottom>
    </border>
    <border>
      <top style="thin">
        <color rgb="FFD9E2EC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" fontId="4" fillId="0" borderId="0" pivotButton="0" quotePrefix="0" xfId="0"/>
    <xf numFmtId="1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5" fillId="3" borderId="2" pivotButton="0" quotePrefix="0" xfId="0"/>
    <xf numFmtId="0" fontId="5" fillId="3" borderId="3" pivotButton="0" quotePrefix="0" xfId="0"/>
    <xf numFmtId="0" fontId="5" fillId="3" borderId="1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6" fillId="0" borderId="7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7" applyAlignment="1" pivotButton="0" quotePrefix="0" xfId="0">
      <alignment wrapText="1"/>
    </xf>
    <xf numFmtId="0" fontId="6" fillId="0" borderId="7" applyAlignment="1" pivotButton="0" quotePrefix="0" xfId="0">
      <alignment vertical="center" wrapText="1"/>
    </xf>
    <xf numFmtId="0" fontId="6" fillId="4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horizontal="center" vertical="center"/>
    </xf>
    <xf numFmtId="165" fontId="5" fillId="3" borderId="3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6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E40AF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4B5563"/>
      </font>
      <fill>
        <patternFill patternType="solid">
          <bgColor rgb="FFE5E7E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8" customWidth="1" min="4" max="4"/>
    <col width="23" customWidth="1" min="5" max="5"/>
    <col width="12" customWidth="1" min="6" max="6"/>
    <col width="18" customWidth="1" min="7" max="7"/>
    <col width="28" customWidth="1" min="8" max="8"/>
    <col width="28" customWidth="1" min="9" max="9"/>
    <col width="58" customWidth="1" min="10" max="10"/>
    <col width="24" customWidth="1" min="11" max="11"/>
    <col width="36" customWidth="1" min="12" max="12"/>
    <col width="55" customWidth="1" min="13" max="13"/>
    <col width="40" customWidth="1" min="14" max="14"/>
    <col width="58" customWidth="1" min="15" max="15"/>
    <col width="15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</row>
    <row r="2" ht="24" customHeight="1">
      <c r="A2" s="53" t="inlineStr">
        <is>
          <t>Micro Operations Control</t>
        </is>
      </c>
      <c r="J2" s="53" t="n"/>
      <c r="K2" s="53" t="n"/>
      <c r="L2" s="53" t="n"/>
      <c r="M2" s="53" t="n"/>
      <c r="N2" s="53" t="n"/>
      <c r="O2" s="53" t="n"/>
      <c r="P2" s="53" t="n"/>
      <c r="Q2" s="53" t="n"/>
    </row>
    <row r="3" ht="24" customHeight="1">
      <c r="A3" s="54" t="inlineStr">
        <is>
          <t>واجهة قراءة مولّدة من JSON المصدر. لا تُحرّر يدويًا.</t>
        </is>
      </c>
      <c r="J3" s="54" t="n"/>
      <c r="K3" s="54" t="n"/>
      <c r="L3" s="54" t="n"/>
      <c r="M3" s="54" t="n"/>
      <c r="N3" s="54" t="n"/>
      <c r="O3" s="54" t="n"/>
      <c r="P3" s="54" t="n"/>
      <c r="Q3" s="54" t="n"/>
    </row>
    <row r="4" ht="24" customHeight="1">
      <c r="A4" s="53" t="n"/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</row>
    <row r="5" ht="24" customHeight="1">
      <c r="A5" s="53" t="inlineStr">
        <is>
          <t>VERIFIED</t>
        </is>
      </c>
      <c r="B5" s="53" t="inlineStr">
        <is>
          <t>READY</t>
        </is>
      </c>
      <c r="C5" s="53" t="inlineStr">
        <is>
          <t>IN_REVIEW</t>
        </is>
      </c>
      <c r="D5" s="53" t="inlineStr">
        <is>
          <t>BLOCKED</t>
        </is>
      </c>
      <c r="E5" s="53" t="inlineStr">
        <is>
          <t>DEFERRED</t>
        </is>
      </c>
      <c r="F5" s="53" t="inlineStr">
        <is>
          <t>REVIEW_REQUIRED</t>
        </is>
      </c>
      <c r="G5" s="53" t="inlineStr">
        <is>
          <t>BACKLOG</t>
        </is>
      </c>
      <c r="H5" s="53" t="inlineStr">
        <is>
          <t>IN_PROGRESS</t>
        </is>
      </c>
      <c r="I5" s="53" t="inlineStr">
        <is>
          <t>SUPERSEDED</t>
        </is>
      </c>
      <c r="J5" s="53" t="n"/>
      <c r="K5" s="53" t="n"/>
      <c r="L5" s="53" t="n"/>
      <c r="M5" s="53" t="n"/>
      <c r="N5" s="53" t="n"/>
      <c r="O5" s="53" t="n"/>
      <c r="P5" s="53" t="n"/>
      <c r="Q5" s="53" t="n"/>
    </row>
    <row r="6" ht="24" customHeight="1">
      <c r="A6" s="54">
        <f>COUNTIF(D9:D72,"VERIFIED")</f>
        <v/>
      </c>
      <c r="B6" s="54">
        <f>COUNTIF(D9:D72,"READY")</f>
        <v/>
      </c>
      <c r="C6" s="54">
        <f>COUNTIF(D9:D72,"IN_REVIEW")</f>
        <v/>
      </c>
      <c r="D6" s="54">
        <f>COUNTIF(D9:D72,"BLOCKED")</f>
        <v/>
      </c>
      <c r="E6" s="54">
        <f>COUNTIF(D9:D72,"DEFERRED")</f>
        <v/>
      </c>
      <c r="F6" s="54">
        <f>COUNTIF(D9:D72,"REVIEW_REQUIRED")</f>
        <v/>
      </c>
      <c r="G6" s="54">
        <f>COUNTIF(D9:D72,"BACKLOG")</f>
        <v/>
      </c>
      <c r="H6" s="54">
        <f>COUNTIF(D9:D72,"IN_PROGRESS")</f>
        <v/>
      </c>
      <c r="I6" s="54">
        <f>COUNTIF(D9:D72,"SUPERSEDED")</f>
        <v/>
      </c>
      <c r="J6" s="54" t="n"/>
      <c r="K6" s="54" t="n"/>
      <c r="L6" s="54" t="n"/>
      <c r="M6" s="54" t="n"/>
      <c r="N6" s="54" t="n"/>
      <c r="O6" s="54" t="n"/>
      <c r="P6" s="54" t="n"/>
      <c r="Q6" s="54" t="n"/>
    </row>
    <row r="7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</row>
    <row r="8" ht="24" customHeight="1">
      <c r="A8" s="53" t="inlineStr">
        <is>
          <t>ID</t>
        </is>
      </c>
      <c r="B8" s="53" t="inlineStr">
        <is>
          <t>العنوان</t>
        </is>
      </c>
      <c r="C8" s="53" t="inlineStr">
        <is>
          <t>النوع</t>
        </is>
      </c>
      <c r="D8" s="53" t="inlineStr">
        <is>
          <t>الحالة</t>
        </is>
      </c>
      <c r="E8" s="53" t="inlineStr">
        <is>
          <t>التصنيف</t>
        </is>
      </c>
      <c r="F8" s="53" t="inlineStr">
        <is>
          <t>تصنيف البوابة</t>
        </is>
      </c>
      <c r="G8" s="53" t="inlineStr">
        <is>
          <t>الأولوية</t>
        </is>
      </c>
      <c r="H8" s="53" t="inlineStr">
        <is>
          <t>المرحلة</t>
        </is>
      </c>
      <c r="I8" s="53" t="inlineStr">
        <is>
          <t>المالك</t>
        </is>
      </c>
      <c r="J8" s="53" t="inlineStr">
        <is>
          <t>الطبقات</t>
        </is>
      </c>
      <c r="K8" s="53" t="inlineStr">
        <is>
          <t>الاختبارات المطلوبة</t>
        </is>
      </c>
      <c r="L8" s="53" t="inlineStr">
        <is>
          <t>الاعتماديات</t>
        </is>
      </c>
      <c r="M8" s="53" t="inlineStr">
        <is>
          <t>قرار المالك</t>
        </is>
      </c>
      <c r="N8" s="53" t="inlineStr">
        <is>
          <t>الخطوة التالية</t>
        </is>
      </c>
      <c r="O8" s="53" t="inlineStr">
        <is>
          <t>سبب الحجب/التأجيل</t>
        </is>
      </c>
      <c r="P8" s="53" t="inlineStr">
        <is>
          <t>المصدر</t>
        </is>
      </c>
      <c r="Q8" s="53" t="inlineStr">
        <is>
          <t>آخر تحديث</t>
        </is>
      </c>
    </row>
    <row r="9" ht="24" customHeight="1">
      <c r="A9" s="54" t="inlineStr">
        <is>
          <t>DEVICE-001</t>
        </is>
      </c>
      <c r="B9" s="54" t="inlineStr">
        <is>
          <t>QA على أجهزة فعلية وWebKit وPWA</t>
        </is>
      </c>
      <c r="C9" s="54" t="inlineStr">
        <is>
          <t>QUALITY</t>
        </is>
      </c>
      <c r="D9" s="54" t="inlineStr">
        <is>
          <t>BLOCKED</t>
        </is>
      </c>
      <c r="E9" s="54" t="inlineStr">
        <is>
          <t>FIX_BEFORE_PILOT</t>
        </is>
      </c>
      <c r="F9" s="54" t="inlineStr">
        <is>
          <t>NOT_APPLICABLE</t>
        </is>
      </c>
      <c r="G9" s="54" t="inlineStr">
        <is>
          <t>P1</t>
        </is>
      </c>
      <c r="H9" s="54" t="inlineStr">
        <is>
          <t>stage-7</t>
        </is>
      </c>
      <c r="I9" s="54" t="inlineStr">
        <is>
          <t>Product owner / Manus coordination</t>
        </is>
      </c>
      <c r="J9" s="54" t="inlineStr">
        <is>
          <t>device, accessibility, pwa</t>
        </is>
      </c>
      <c r="K9" s="54" t="inlineStr">
        <is>
          <t>Focused automated tests | Failure/recovery path where applicable | Evidence on main or explicit device limitation</t>
        </is>
      </c>
      <c r="L9" s="54" t="inlineStr">
        <is>
          <t>UX-001, REL-001</t>
        </is>
      </c>
      <c r="M9" s="54" t="inlineStr">
        <is>
          <t>توفير الأجهزة والبيئة الفعلية.</t>
        </is>
      </c>
      <c r="N9" s="54" t="inlineStr">
        <is>
          <t>أغلق سبب الحجب قبل بدء العمل؛ الاعتماديات الحالية: UX-001, REL-001.</t>
        </is>
      </c>
      <c r="O9" s="54" t="inlineStr">
        <is>
          <t>الاعتماديات أو البيئة المطلوبة لم تكتمل: UX-001, REL-001</t>
        </is>
      </c>
      <c r="P9" s="54" t="inlineStr">
        <is>
          <t>reports/agent-report/2026-09-18_wave-4-4-system-quality-final-qa/report.md</t>
        </is>
      </c>
      <c r="Q9" s="54" t="inlineStr">
        <is>
          <t>2026-09-19</t>
        </is>
      </c>
    </row>
    <row r="10" ht="24" customHeight="1">
      <c r="A10" s="54" t="inlineStr">
        <is>
          <t>LEGAL-001</t>
        </is>
      </c>
      <c r="B10" s="54" t="inlineStr">
        <is>
          <t>مراجعة أردنية مالية وقانونية</t>
        </is>
      </c>
      <c r="C10" s="54" t="inlineStr">
        <is>
          <t>RESEARCH</t>
        </is>
      </c>
      <c r="D10" s="54" t="inlineStr">
        <is>
          <t>BLOCKED</t>
        </is>
      </c>
      <c r="E10" s="54" t="inlineStr">
        <is>
          <t>RELEASE_GATE</t>
        </is>
      </c>
      <c r="F10" s="54" t="inlineStr">
        <is>
          <t>NOT_APPLICABLE</t>
        </is>
      </c>
      <c r="G10" s="54" t="inlineStr">
        <is>
          <t>P1</t>
        </is>
      </c>
      <c r="H10" s="54" t="inlineStr">
        <is>
          <t>stage-8</t>
        </is>
      </c>
      <c r="I10" s="54" t="inlineStr">
        <is>
          <t>Product owner / Manus coordination</t>
        </is>
      </c>
      <c r="J10" s="54" t="inlineStr">
        <is>
          <t>legal, product-scope</t>
        </is>
      </c>
      <c r="K10" s="54" t="inlineStr">
        <is>
          <t>Source/report comparison | Explicit unknowns and limits | Owner decision or pilot evidence</t>
        </is>
      </c>
      <c r="L10" s="54" t="inlineStr">
        <is>
          <t>FIN-007</t>
        </is>
      </c>
      <c r="M10" s="54" t="inlineStr">
        <is>
          <t>اختيار مختص ونطاق المراجعة.</t>
        </is>
      </c>
      <c r="N10" s="54" t="inlineStr">
        <is>
          <t>أغلق سبب الحجب قبل بدء العمل؛ الاعتماديات الحالية: FIN-007.</t>
        </is>
      </c>
      <c r="O10" s="54" t="inlineStr">
        <is>
          <t>الاعتماديات أو البيئة المطلوبة لم تكتمل: FIN-007</t>
        </is>
      </c>
      <c r="P10" s="54" t="inlineStr">
        <is>
          <t>docs/operations/control/README.md</t>
        </is>
      </c>
      <c r="Q10" s="54" t="inlineStr">
        <is>
          <t>2026-09-19</t>
        </is>
      </c>
    </row>
    <row r="11" ht="24" customHeight="1">
      <c r="A11" s="54" t="inlineStr">
        <is>
          <t>PILOT-001</t>
        </is>
      </c>
      <c r="B11" s="54" t="inlineStr">
        <is>
          <t>قرار بدء Pilot</t>
        </is>
      </c>
      <c r="C11" s="54" t="inlineStr">
        <is>
          <t>RELEASE</t>
        </is>
      </c>
      <c r="D11" s="54" t="inlineStr">
        <is>
          <t>BLOCKED</t>
        </is>
      </c>
      <c r="E11" s="54" t="inlineStr">
        <is>
          <t>RELEASE_GATE</t>
        </is>
      </c>
      <c r="F11" s="54" t="inlineStr">
        <is>
          <t>RELEASE_GATE</t>
        </is>
      </c>
      <c r="G11" s="54" t="inlineStr">
        <is>
          <t>P1</t>
        </is>
      </c>
      <c r="H11" s="54" t="inlineStr">
        <is>
          <t>stage-10</t>
        </is>
      </c>
      <c r="I11" s="54" t="inlineStr">
        <is>
          <t>Product owner / Manus coordination</t>
        </is>
      </c>
      <c r="J11" s="54" t="inlineStr">
        <is>
          <t>release, pilot</t>
        </is>
      </c>
      <c r="K11" s="54" t="inlineStr">
        <is>
          <t>End-to-end acceptance scenarios | Independent review evidence | Owner release decision</t>
        </is>
      </c>
      <c r="L11" s="54" t="inlineStr">
        <is>
          <t>CTRL-001, CTRL-002, G-001, G-002, G-003, G-004, G-005, G-006, OPS-001, OPS-002, OPS-003, OPS-004, OPS-005, OPS-006, OPS-007, OPS-008, OPS-009, FIN-001, FIN-002, FIN-003, FIN-004, FIN-005, FIN-006, FIN-007, FIN-008, CLEAN-001, UX-001, REL-001, DEVICE-001, LEGAL-001, UAT-001, AUDIT-001, HARD-009, HARD-010, HARD-011</t>
        </is>
      </c>
      <c r="M11" s="54" t="inlineStr">
        <is>
          <t>قرار إطلاق Pilot بعد VERIFIED لكل required_items ومراجعة الحزمة النهائية.</t>
        </is>
      </c>
      <c r="N11" s="54" t="inlineStr">
        <is>
          <t>لا يصبح Ready ولا يبدأ قبل VERIFIED لكل required_items في PRE-PILOT، ثم قرار المالك؛ لا يبدأ تلقائيًا بنجاح CI.</t>
        </is>
      </c>
      <c r="O11" s="54" t="inlineStr">
        <is>
          <t>المراحل 0–9 وبوابات المنتج والجهاز والقانون وUAT والتدقيق لم تثبت كلها VERIFIED على main.</t>
        </is>
      </c>
      <c r="P11" s="54" t="inlineStr">
        <is>
          <t>docs/operations/control/README.md</t>
        </is>
      </c>
      <c r="Q11" s="54" t="inlineStr">
        <is>
          <t>2026-09-19</t>
        </is>
      </c>
    </row>
    <row r="12" ht="24" customHeight="1">
      <c r="A12" s="54" t="inlineStr">
        <is>
          <t>FIN-001</t>
        </is>
      </c>
      <c r="B12" s="54" t="inlineStr">
        <is>
          <t>تسجيل اقتراض داخل المشروع</t>
        </is>
      </c>
      <c r="C12" s="54" t="inlineStr">
        <is>
          <t>FEATURE</t>
        </is>
      </c>
      <c r="D12" s="54" t="inlineStr">
        <is>
          <t>READY</t>
        </is>
      </c>
      <c r="E12" s="54" t="inlineStr">
        <is>
          <t>FIX_BEFORE_PILOT</t>
        </is>
      </c>
      <c r="F12" s="54" t="inlineStr">
        <is>
          <t>NOT_APPLICABLE</t>
        </is>
      </c>
      <c r="G12" s="54" t="inlineStr">
        <is>
          <t>P1</t>
        </is>
      </c>
      <c r="H12" s="54" t="inlineStr">
        <is>
          <t>stage-3</t>
        </is>
      </c>
      <c r="I12" s="54" t="inlineStr">
        <is>
          <t>Product owner / Manus coordination</t>
        </is>
      </c>
      <c r="J12" s="54" t="inlineStr">
        <is>
          <t>Layer 3, domain, application, presentation</t>
        </is>
      </c>
      <c r="K12" s="54" t="inlineStr">
        <is>
          <t>Domain/Service tests | DOM/Integration tests where UI is involved | Export/import or migration evidence where persistence changes | Merge and verification evidence on main</t>
        </is>
      </c>
      <c r="L12" s="54" t="inlineStr">
        <is>
          <t>CTRL-001</t>
        </is>
      </c>
      <c r="M12" s="54" t="inlineStr">
        <is>
          <t>اعتماد سياسة القرض المأخوذ: الكاش والالتزام والمحفظة والسداد وفصل الأصل عن الرسوم/الفوائد.</t>
        </is>
      </c>
      <c r="N12" s="54" t="inlineStr">
        <is>
          <t>تحقق من الاعتماديات (CTRL-001) ثم أنشئ Workstream claim قبل التنفيذ.</t>
        </is>
      </c>
      <c r="O12" s="54" t="inlineStr"/>
      <c r="P12" s="54" t="inlineStr">
        <is>
          <t>docs/operations/control/README.md</t>
        </is>
      </c>
      <c r="Q12" s="54" t="inlineStr">
        <is>
          <t>2026-09-19</t>
        </is>
      </c>
    </row>
    <row r="13" ht="24" customHeight="1">
      <c r="A13" s="54" t="inlineStr">
        <is>
          <t>FIN-003</t>
        </is>
      </c>
      <c r="B13" s="54" t="inlineStr">
        <is>
          <t>مقارنة الفترات وجسر الربح إلى الكاش</t>
        </is>
      </c>
      <c r="C13" s="54" t="inlineStr">
        <is>
          <t>FEATURE</t>
        </is>
      </c>
      <c r="D13" s="54" t="inlineStr">
        <is>
          <t>READY</t>
        </is>
      </c>
      <c r="E13" s="54" t="inlineStr">
        <is>
          <t>FIX_BEFORE_PILOT</t>
        </is>
      </c>
      <c r="F13" s="54" t="inlineStr">
        <is>
          <t>NOT_APPLICABLE</t>
        </is>
      </c>
      <c r="G13" s="54" t="inlineStr">
        <is>
          <t>P1</t>
        </is>
      </c>
      <c r="H13" s="54" t="inlineStr">
        <is>
          <t>stage-3</t>
        </is>
      </c>
      <c r="I13" s="54" t="inlineStr">
        <is>
          <t>Product owner / Manus coordination</t>
        </is>
      </c>
      <c r="J13" s="54" t="inlineStr">
        <is>
          <t>Layer 3, domain, application, presentation</t>
        </is>
      </c>
      <c r="K13" s="54" t="inlineStr">
        <is>
          <t>Domain/Service tests | DOM/Integration tests where UI is involved | Export/import or migration evidence where persistence changes | Merge and verification evidence on main</t>
        </is>
      </c>
      <c r="L13" s="54" t="inlineStr">
        <is>
          <t>FIN-001</t>
        </is>
      </c>
      <c r="M13" s="54" t="inlineStr"/>
      <c r="N13" s="54" t="inlineStr">
        <is>
          <t>تحقق من الاعتماديات (FIN-001) ثم أنشئ Workstream claim قبل التنفيذ.</t>
        </is>
      </c>
      <c r="O13" s="54" t="inlineStr"/>
      <c r="P13" s="54" t="inlineStr">
        <is>
          <t>docs/operations/control/README.md</t>
        </is>
      </c>
      <c r="Q13" s="54" t="inlineStr">
        <is>
          <t>2026-09-19</t>
        </is>
      </c>
    </row>
    <row r="14" ht="24" customHeight="1">
      <c r="A14" s="54" t="inlineStr">
        <is>
          <t>FIN-004</t>
        </is>
      </c>
      <c r="B14" s="54" t="inlineStr">
        <is>
          <t>حد السحب الآمن للمالك</t>
        </is>
      </c>
      <c r="C14" s="54" t="inlineStr">
        <is>
          <t>FEATURE</t>
        </is>
      </c>
      <c r="D14" s="54" t="inlineStr">
        <is>
          <t>READY</t>
        </is>
      </c>
      <c r="E14" s="54" t="inlineStr">
        <is>
          <t>FIX_BEFORE_PILOT</t>
        </is>
      </c>
      <c r="F14" s="54" t="inlineStr">
        <is>
          <t>NOT_APPLICABLE</t>
        </is>
      </c>
      <c r="G14" s="54" t="inlineStr">
        <is>
          <t>P1</t>
        </is>
      </c>
      <c r="H14" s="54" t="inlineStr">
        <is>
          <t>stage-3</t>
        </is>
      </c>
      <c r="I14" s="54" t="inlineStr">
        <is>
          <t>Product owner / Manus coordination</t>
        </is>
      </c>
      <c r="J14" s="54" t="inlineStr">
        <is>
          <t>Layer 3, domain, application, presentation</t>
        </is>
      </c>
      <c r="K14" s="54" t="inlineStr">
        <is>
          <t>Domain/Service tests | DOM/Integration tests where UI is involved | Export/import or migration evidence where persistence changes | Merge and verification evidence on main</t>
        </is>
      </c>
      <c r="L14" s="54" t="inlineStr">
        <is>
          <t>FIN-003, FIN-005</t>
        </is>
      </c>
      <c r="M14" s="54" t="inlineStr"/>
      <c r="N14" s="54" t="inlineStr">
        <is>
          <t>تحقق من الاعتماديات (FIN-003, FIN-005) ثم أنشئ Workstream claim قبل التنفيذ.</t>
        </is>
      </c>
      <c r="O14" s="54" t="inlineStr"/>
      <c r="P14" s="54" t="inlineStr">
        <is>
          <t>docs/operations/control/README.md</t>
        </is>
      </c>
      <c r="Q14" s="54" t="inlineStr">
        <is>
          <t>2026-09-19</t>
        </is>
      </c>
    </row>
    <row r="15" ht="24" customHeight="1">
      <c r="A15" s="54" t="inlineStr">
        <is>
          <t>FIN-005</t>
        </is>
      </c>
      <c r="B15" s="54" t="inlineStr">
        <is>
          <t>توقع الكاش والتصريحات المتوقعة</t>
        </is>
      </c>
      <c r="C15" s="54" t="inlineStr">
        <is>
          <t>FEATURE</t>
        </is>
      </c>
      <c r="D15" s="54" t="inlineStr">
        <is>
          <t>READY</t>
        </is>
      </c>
      <c r="E15" s="54" t="inlineStr">
        <is>
          <t>FIX_BEFORE_PILOT</t>
        </is>
      </c>
      <c r="F15" s="54" t="inlineStr">
        <is>
          <t>NOT_APPLICABLE</t>
        </is>
      </c>
      <c r="G15" s="54" t="inlineStr">
        <is>
          <t>P1</t>
        </is>
      </c>
      <c r="H15" s="54" t="inlineStr">
        <is>
          <t>stage-3</t>
        </is>
      </c>
      <c r="I15" s="54" t="inlineStr">
        <is>
          <t>Product owner / Manus coordination</t>
        </is>
      </c>
      <c r="J15" s="54" t="inlineStr">
        <is>
          <t>Layer 3, domain, application, presentation</t>
        </is>
      </c>
      <c r="K15" s="54" t="inlineStr">
        <is>
          <t>Domain/Service tests | DOM/Integration tests where UI is involved | Export/import or migration evidence where persistence changes | Merge and verification evidence on main</t>
        </is>
      </c>
      <c r="L15" s="54" t="inlineStr">
        <is>
          <t>OPS-001</t>
        </is>
      </c>
      <c r="M15" s="54" t="inlineStr"/>
      <c r="N15" s="54" t="inlineStr">
        <is>
          <t>تحقق من الاعتماديات (OPS-001) ثم أنشئ Workstream claim قبل التنفيذ.</t>
        </is>
      </c>
      <c r="O15" s="54" t="inlineStr"/>
      <c r="P15" s="54" t="inlineStr">
        <is>
          <t>docs/operations/control/README.md</t>
        </is>
      </c>
      <c r="Q15" s="54" t="inlineStr">
        <is>
          <t>2026-09-19</t>
        </is>
      </c>
    </row>
    <row r="16" ht="24" customHeight="1">
      <c r="A16" s="54" t="inlineStr">
        <is>
          <t>OPS-001</t>
        </is>
      </c>
      <c r="B16" s="54" t="inlineStr">
        <is>
          <t>المواعيد والاستحقاقات وتقادم الذمم الأساسي</t>
        </is>
      </c>
      <c r="C16" s="54" t="inlineStr">
        <is>
          <t>FEATURE</t>
        </is>
      </c>
      <c r="D16" s="54" t="inlineStr">
        <is>
          <t>READY</t>
        </is>
      </c>
      <c r="E16" s="54" t="inlineStr">
        <is>
          <t>FIX_BEFORE_PILOT</t>
        </is>
      </c>
      <c r="F16" s="54" t="inlineStr">
        <is>
          <t>NOT_APPLICABLE</t>
        </is>
      </c>
      <c r="G16" s="54" t="inlineStr">
        <is>
          <t>P1</t>
        </is>
      </c>
      <c r="H16" s="54" t="inlineStr">
        <is>
          <t>stage-2</t>
        </is>
      </c>
      <c r="I16" s="54" t="inlineStr">
        <is>
          <t>Product owner / Manus coordination</t>
        </is>
      </c>
      <c r="J16" s="54" t="inlineStr">
        <is>
          <t>Layer 2, application, presentation</t>
        </is>
      </c>
      <c r="K16" s="54" t="inlineStr">
        <is>
          <t>Domain/Service tests | DOM/Integration tests where UI is involved | Export/import or migration evidence where persistence changes | Merge and verification evidence on main</t>
        </is>
      </c>
      <c r="L16" s="54" t="inlineStr">
        <is>
          <t>CTRL-001</t>
        </is>
      </c>
      <c r="M16" s="54" t="inlineStr"/>
      <c r="N16" s="54" t="inlineStr">
        <is>
          <t>تحقق من الاعتماديات (CTRL-001) ثم أنشئ Workstream claim قبل التنفيذ.</t>
        </is>
      </c>
      <c r="O16" s="54" t="inlineStr"/>
      <c r="P16" s="54" t="inlineStr">
        <is>
          <t>docs/operations/control/README.md</t>
        </is>
      </c>
      <c r="Q16" s="54" t="inlineStr">
        <is>
          <t>2026-09-19</t>
        </is>
      </c>
    </row>
    <row r="17" ht="24" customHeight="1">
      <c r="A17" s="54" t="inlineStr">
        <is>
          <t>OPS-005</t>
        </is>
      </c>
      <c r="B17" s="54" t="inlineStr">
        <is>
          <t>سطح قادم موحد للدفعات والتحصيلات والطلبات والالتزامات</t>
        </is>
      </c>
      <c r="C17" s="54" t="inlineStr">
        <is>
          <t>FEATURE</t>
        </is>
      </c>
      <c r="D17" s="54" t="inlineStr">
        <is>
          <t>READY</t>
        </is>
      </c>
      <c r="E17" s="54" t="inlineStr">
        <is>
          <t>FIX_BEFORE_PILOT</t>
        </is>
      </c>
      <c r="F17" s="54" t="inlineStr">
        <is>
          <t>NOT_APPLICABLE</t>
        </is>
      </c>
      <c r="G17" s="54" t="inlineStr">
        <is>
          <t>P1</t>
        </is>
      </c>
      <c r="H17" s="54" t="inlineStr">
        <is>
          <t>stage-2</t>
        </is>
      </c>
      <c r="I17" s="54" t="inlineStr">
        <is>
          <t>Product owner / Manus coordination</t>
        </is>
      </c>
      <c r="J17" s="54" t="inlineStr">
        <is>
          <t>Layer 2, application, presentation</t>
        </is>
      </c>
      <c r="K17" s="54" t="inlineStr">
        <is>
          <t>Domain/Service tests | DOM/Integration tests where UI is involved | Export/import or migration evidence where persistence changes | Merge and verification evidence on main</t>
        </is>
      </c>
      <c r="L17" s="54" t="inlineStr">
        <is>
          <t>CTRL-001, OPS-001</t>
        </is>
      </c>
      <c r="M17" s="54" t="inlineStr"/>
      <c r="N17" s="54" t="inlineStr">
        <is>
          <t>انتظر اعتماد CTRL-001 وCTRL-002 ثم أنشئ Workstream claim مستقلًا عند تحقق الاعتماديات.</t>
        </is>
      </c>
      <c r="O17" s="54" t="inlineStr"/>
      <c r="P17" s="54" t="inlineStr">
        <is>
          <t>https://github.com/Qays7753/Documents/tree/main/reports/2026/2026-09-19/layered-financial-management-audit-001</t>
        </is>
      </c>
      <c r="Q17" s="54" t="inlineStr">
        <is>
          <t>2026-09-19</t>
        </is>
      </c>
    </row>
    <row r="18" ht="24" customHeight="1">
      <c r="A18" s="54" t="inlineStr">
        <is>
          <t>OPS-009</t>
        </is>
      </c>
      <c r="B18" s="54" t="inlineStr">
        <is>
          <t>حماية Cost Snapshot وإعلان النتيجة النهائية أو التقديرية</t>
        </is>
      </c>
      <c r="C18" s="54" t="inlineStr">
        <is>
          <t>QUALITY</t>
        </is>
      </c>
      <c r="D18" s="54" t="inlineStr">
        <is>
          <t>READY</t>
        </is>
      </c>
      <c r="E18" s="54" t="inlineStr">
        <is>
          <t>FIX_BEFORE_PILOT</t>
        </is>
      </c>
      <c r="F18" s="54" t="inlineStr">
        <is>
          <t>NOT_APPLICABLE</t>
        </is>
      </c>
      <c r="G18" s="54" t="inlineStr">
        <is>
          <t>P1</t>
        </is>
      </c>
      <c r="H18" s="54" t="inlineStr">
        <is>
          <t>stage-2</t>
        </is>
      </c>
      <c r="I18" s="54" t="inlineStr">
        <is>
          <t>Product owner / Manus coordination</t>
        </is>
      </c>
      <c r="J18" s="54" t="inlineStr">
        <is>
          <t>Layer 2, application, presentation</t>
        </is>
      </c>
      <c r="K18" s="54" t="inlineStr">
        <is>
          <t>Focused automated tests | Failure/recovery path where applicable | Evidence on main or explicit device limitation</t>
        </is>
      </c>
      <c r="L18" s="54" t="inlineStr">
        <is>
          <t>CTRL-001, OPS-007</t>
        </is>
      </c>
      <c r="M18" s="54" t="inlineStr"/>
      <c r="N18" s="54" t="inlineStr">
        <is>
          <t>انتظر اعتماد CTRL-001 وCTRL-002 ثم أنشئ Workstream claim مستقلًا عند تحقق الاعتماديات.</t>
        </is>
      </c>
      <c r="O18" s="54" t="inlineStr"/>
      <c r="P18" s="54" t="inlineStr">
        <is>
          <t>https://github.com/Qays7753/Documents/tree/main/reports/2026/2026-09-19/layered-financial-management-audit-001</t>
        </is>
      </c>
      <c r="Q18" s="54" t="inlineStr">
        <is>
          <t>2026-09-19</t>
        </is>
      </c>
    </row>
    <row r="19" ht="24" customHeight="1">
      <c r="A19" s="54" t="inlineStr">
        <is>
          <t>REL-001</t>
        </is>
      </c>
      <c r="B19" s="54" t="inlineStr">
        <is>
          <t>اختبارات الصمود والفشل</t>
        </is>
      </c>
      <c r="C19" s="54" t="inlineStr">
        <is>
          <t>QUALITY</t>
        </is>
      </c>
      <c r="D19" s="54" t="inlineStr">
        <is>
          <t>READY</t>
        </is>
      </c>
      <c r="E19" s="54" t="inlineStr">
        <is>
          <t>FIX_BEFORE_PILOT</t>
        </is>
      </c>
      <c r="F19" s="54" t="inlineStr">
        <is>
          <t>NOT_APPLICABLE</t>
        </is>
      </c>
      <c r="G19" s="54" t="inlineStr">
        <is>
          <t>P1</t>
        </is>
      </c>
      <c r="H19" s="54" t="inlineStr">
        <is>
          <t>stage-6</t>
        </is>
      </c>
      <c r="I19" s="54" t="inlineStr">
        <is>
          <t>Product owner / Manus coordination</t>
        </is>
      </c>
      <c r="J19" s="54" t="inlineStr">
        <is>
          <t>storage, transfer, resilience</t>
        </is>
      </c>
      <c r="K19" s="54" t="inlineStr">
        <is>
          <t>Focused automated tests | Failure/recovery path where applicable | Evidence on main or explicit device limitation</t>
        </is>
      </c>
      <c r="L19" s="54" t="inlineStr">
        <is>
          <t>CLEAN-001</t>
        </is>
      </c>
      <c r="M19" s="54" t="inlineStr"/>
      <c r="N19" s="54" t="inlineStr">
        <is>
          <t>تحقق من الاعتماديات (CLEAN-001) ثم أنشئ Workstream claim قبل التنفيذ.</t>
        </is>
      </c>
      <c r="O19" s="54" t="inlineStr"/>
      <c r="P19" s="54" t="inlineStr">
        <is>
          <t>docs/operations/control/README.md</t>
        </is>
      </c>
      <c r="Q19" s="54" t="inlineStr">
        <is>
          <t>2026-09-19</t>
        </is>
      </c>
    </row>
    <row r="20" ht="24" customHeight="1">
      <c r="A20" s="54" t="inlineStr">
        <is>
          <t>CLEAN-001</t>
        </is>
      </c>
      <c r="B20" s="54" t="inlineStr">
        <is>
          <t>تنظيف الأسطح الجزئية والميتة</t>
        </is>
      </c>
      <c r="C20" s="54" t="inlineStr">
        <is>
          <t>QUALITY</t>
        </is>
      </c>
      <c r="D20" s="54" t="inlineStr">
        <is>
          <t>READY</t>
        </is>
      </c>
      <c r="E20" s="54" t="inlineStr">
        <is>
          <t>FIX_BEFORE_PILOT</t>
        </is>
      </c>
      <c r="F20" s="54" t="inlineStr">
        <is>
          <t>NOT_APPLICABLE</t>
        </is>
      </c>
      <c r="G20" s="54" t="inlineStr">
        <is>
          <t>P2</t>
        </is>
      </c>
      <c r="H20" s="54" t="inlineStr">
        <is>
          <t>stage-4</t>
        </is>
      </c>
      <c r="I20" s="54" t="inlineStr">
        <is>
          <t>Product owner / Manus coordination</t>
        </is>
      </c>
      <c r="J20" s="54" t="inlineStr">
        <is>
          <t>cross-layer, presentation</t>
        </is>
      </c>
      <c r="K20" s="54" t="inlineStr">
        <is>
          <t>Focused automated tests | Failure/recovery path where applicable | Evidence on main or explicit device limitation</t>
        </is>
      </c>
      <c r="L20" s="54" t="inlineStr">
        <is>
          <t>FIN-007, OPS-004</t>
        </is>
      </c>
      <c r="M20" s="54" t="inlineStr"/>
      <c r="N20" s="54" t="inlineStr">
        <is>
          <t>تحقق من الاعتماديات (FIN-007, OPS-004) ثم أنشئ Workstream claim قبل التنفيذ.</t>
        </is>
      </c>
      <c r="O20" s="54" t="inlineStr"/>
      <c r="P20" s="54" t="inlineStr">
        <is>
          <t>docs/operations/control/README.md</t>
        </is>
      </c>
      <c r="Q20" s="54" t="inlineStr">
        <is>
          <t>2026-09-19</t>
        </is>
      </c>
    </row>
    <row r="21" ht="24" customHeight="1">
      <c r="A21" s="54" t="inlineStr">
        <is>
          <t>FIN-007</t>
        </is>
      </c>
      <c r="B21" s="54" t="inlineStr">
        <is>
          <t>مراجعة فترة مرنة</t>
        </is>
      </c>
      <c r="C21" s="54" t="inlineStr">
        <is>
          <t>FEATURE</t>
        </is>
      </c>
      <c r="D21" s="54" t="inlineStr">
        <is>
          <t>READY</t>
        </is>
      </c>
      <c r="E21" s="54" t="inlineStr">
        <is>
          <t>FIX_BEFORE_PILOT</t>
        </is>
      </c>
      <c r="F21" s="54" t="inlineStr">
        <is>
          <t>NOT_APPLICABLE</t>
        </is>
      </c>
      <c r="G21" s="54" t="inlineStr">
        <is>
          <t>P2</t>
        </is>
      </c>
      <c r="H21" s="54" t="inlineStr">
        <is>
          <t>stage-3</t>
        </is>
      </c>
      <c r="I21" s="54" t="inlineStr">
        <is>
          <t>Product owner / Manus coordination</t>
        </is>
      </c>
      <c r="J21" s="54" t="inlineStr">
        <is>
          <t>Layer 3, domain, application, presentation</t>
        </is>
      </c>
      <c r="K21" s="54" t="inlineStr">
        <is>
          <t>Domain/Service tests | DOM/Integration tests where UI is involved | Export/import or migration evidence where persistence changes | Merge and verification evidence on main</t>
        </is>
      </c>
      <c r="L21" s="54" t="inlineStr">
        <is>
          <t>FIN-003</t>
        </is>
      </c>
      <c r="M21" s="54" t="inlineStr"/>
      <c r="N21" s="54" t="inlineStr">
        <is>
          <t>تحقق من الاعتماديات (FIN-003) ثم أنشئ Workstream claim قبل التنفيذ.</t>
        </is>
      </c>
      <c r="O21" s="54" t="inlineStr"/>
      <c r="P21" s="54" t="inlineStr">
        <is>
          <t>docs/operations/control/README.md</t>
        </is>
      </c>
      <c r="Q21" s="54" t="inlineStr">
        <is>
          <t>2026-09-19</t>
        </is>
      </c>
    </row>
    <row r="22" ht="24" customHeight="1">
      <c r="A22" s="54" t="inlineStr">
        <is>
          <t>OPS-002</t>
        </is>
      </c>
      <c r="B22" s="54" t="inlineStr">
        <is>
          <t>تنبيهات انخفاض المخزون</t>
        </is>
      </c>
      <c r="C22" s="54" t="inlineStr">
        <is>
          <t>FEATURE</t>
        </is>
      </c>
      <c r="D22" s="54" t="inlineStr">
        <is>
          <t>READY</t>
        </is>
      </c>
      <c r="E22" s="54" t="inlineStr">
        <is>
          <t>FIX_BEFORE_PILOT</t>
        </is>
      </c>
      <c r="F22" s="54" t="inlineStr">
        <is>
          <t>NOT_APPLICABLE</t>
        </is>
      </c>
      <c r="G22" s="54" t="inlineStr">
        <is>
          <t>P2</t>
        </is>
      </c>
      <c r="H22" s="54" t="inlineStr">
        <is>
          <t>stage-2</t>
        </is>
      </c>
      <c r="I22" s="54" t="inlineStr">
        <is>
          <t>Product owner / Manus coordination</t>
        </is>
      </c>
      <c r="J22" s="54" t="inlineStr">
        <is>
          <t>Layer 2, application, presentation</t>
        </is>
      </c>
      <c r="K22" s="54" t="inlineStr">
        <is>
          <t>Domain/Service tests | DOM/Integration tests where UI is involved | Export/import or migration evidence where persistence changes | Merge and verification evidence on main</t>
        </is>
      </c>
      <c r="L22" s="54" t="inlineStr">
        <is>
          <t>CTRL-001</t>
        </is>
      </c>
      <c r="M22" s="54" t="inlineStr"/>
      <c r="N22" s="54" t="inlineStr">
        <is>
          <t>تحقق من الاعتماديات (CTRL-001) ثم أنشئ Workstream claim قبل التنفيذ.</t>
        </is>
      </c>
      <c r="O22" s="54" t="inlineStr"/>
      <c r="P22" s="54" t="inlineStr">
        <is>
          <t>docs/operations/control/README.md</t>
        </is>
      </c>
      <c r="Q22" s="54" t="inlineStr">
        <is>
          <t>2026-09-19</t>
        </is>
      </c>
    </row>
    <row r="23" ht="24" customHeight="1">
      <c r="A23" s="54" t="inlineStr">
        <is>
          <t>OPS-004</t>
        </is>
      </c>
      <c r="B23" s="54" t="inlineStr">
        <is>
          <t>ربط القوالب بالتكلفة المخططة دون استهلاك فعلي</t>
        </is>
      </c>
      <c r="C23" s="54" t="inlineStr">
        <is>
          <t>FEATURE</t>
        </is>
      </c>
      <c r="D23" s="54" t="inlineStr">
        <is>
          <t>READY</t>
        </is>
      </c>
      <c r="E23" s="54" t="inlineStr">
        <is>
          <t>FIX_BEFORE_PILOT</t>
        </is>
      </c>
      <c r="F23" s="54" t="inlineStr">
        <is>
          <t>NOT_APPLICABLE</t>
        </is>
      </c>
      <c r="G23" s="54" t="inlineStr">
        <is>
          <t>P2</t>
        </is>
      </c>
      <c r="H23" s="54" t="inlineStr">
        <is>
          <t>stage-2</t>
        </is>
      </c>
      <c r="I23" s="54" t="inlineStr">
        <is>
          <t>Product owner / Manus coordination</t>
        </is>
      </c>
      <c r="J23" s="54" t="inlineStr">
        <is>
          <t>Layer 2, application, presentation</t>
        </is>
      </c>
      <c r="K23" s="54" t="inlineStr">
        <is>
          <t>Domain/Service tests | DOM/Integration tests where UI is involved | Export/import or migration evidence where persistence changes | Merge and verification evidence on main</t>
        </is>
      </c>
      <c r="L23" s="54" t="inlineStr">
        <is>
          <t>CTRL-001</t>
        </is>
      </c>
      <c r="M23" s="54" t="inlineStr"/>
      <c r="N23" s="54" t="inlineStr">
        <is>
          <t>تحقق من الاعتماديات (CTRL-001) ثم أنشئ Workstream claim قبل التنفيذ.</t>
        </is>
      </c>
      <c r="O23" s="54" t="inlineStr"/>
      <c r="P23" s="54" t="inlineStr">
        <is>
          <t>docs/operations/control/README.md</t>
        </is>
      </c>
      <c r="Q23" s="54" t="inlineStr">
        <is>
          <t>2026-09-19</t>
        </is>
      </c>
    </row>
    <row r="24" ht="24" customHeight="1">
      <c r="A24" s="54" t="inlineStr">
        <is>
          <t>OPS-006</t>
        </is>
      </c>
      <c r="B24" s="54" t="inlineStr">
        <is>
          <t>تقادم ديون مبسط قبل الشرائح المتقدمة</t>
        </is>
      </c>
      <c r="C24" s="54" t="inlineStr">
        <is>
          <t>FEATURE</t>
        </is>
      </c>
      <c r="D24" s="54" t="inlineStr">
        <is>
          <t>READY</t>
        </is>
      </c>
      <c r="E24" s="54" t="inlineStr">
        <is>
          <t>FIX_BEFORE_PILOT</t>
        </is>
      </c>
      <c r="F24" s="54" t="inlineStr">
        <is>
          <t>NOT_APPLICABLE</t>
        </is>
      </c>
      <c r="G24" s="54" t="inlineStr">
        <is>
          <t>P2</t>
        </is>
      </c>
      <c r="H24" s="54" t="inlineStr">
        <is>
          <t>stage-2</t>
        </is>
      </c>
      <c r="I24" s="54" t="inlineStr">
        <is>
          <t>Product owner / Manus coordination</t>
        </is>
      </c>
      <c r="J24" s="54" t="inlineStr">
        <is>
          <t>Layer 2, application, presentation</t>
        </is>
      </c>
      <c r="K24" s="54" t="inlineStr">
        <is>
          <t>Domain/Service tests | DOM/Integration tests where UI is involved | Export/import or migration evidence where persistence changes | Merge and verification evidence on main</t>
        </is>
      </c>
      <c r="L24" s="54" t="inlineStr">
        <is>
          <t>CTRL-001, OPS-001</t>
        </is>
      </c>
      <c r="M24" s="54" t="inlineStr"/>
      <c r="N24" s="54" t="inlineStr">
        <is>
          <t>انتظر اعتماد CTRL-001 وCTRL-002 ثم أنشئ Workstream claim مستقلًا عند تحقق الاعتماديات.</t>
        </is>
      </c>
      <c r="O24" s="54" t="inlineStr"/>
      <c r="P24" s="54" t="inlineStr">
        <is>
          <t>https://github.com/Qays7753/Documents/tree/main/reports/2026/2026-09-19/layered-financial-management-audit-001</t>
        </is>
      </c>
      <c r="Q24" s="54" t="inlineStr">
        <is>
          <t>2026-09-19</t>
        </is>
      </c>
    </row>
    <row r="25" ht="24" customHeight="1">
      <c r="A25" s="54" t="inlineStr">
        <is>
          <t>OPS-007</t>
        </is>
      </c>
      <c r="B25" s="54" t="inlineStr">
        <is>
          <t>مقارنة التكلفة المخططة بالمستهلكة والفرق</t>
        </is>
      </c>
      <c r="C25" s="54" t="inlineStr">
        <is>
          <t>FEATURE</t>
        </is>
      </c>
      <c r="D25" s="54" t="inlineStr">
        <is>
          <t>READY</t>
        </is>
      </c>
      <c r="E25" s="54" t="inlineStr">
        <is>
          <t>FIX_BEFORE_PILOT</t>
        </is>
      </c>
      <c r="F25" s="54" t="inlineStr">
        <is>
          <t>NOT_APPLICABLE</t>
        </is>
      </c>
      <c r="G25" s="54" t="inlineStr">
        <is>
          <t>P2</t>
        </is>
      </c>
      <c r="H25" s="54" t="inlineStr">
        <is>
          <t>stage-2</t>
        </is>
      </c>
      <c r="I25" s="54" t="inlineStr">
        <is>
          <t>Product owner / Manus coordination</t>
        </is>
      </c>
      <c r="J25" s="54" t="inlineStr">
        <is>
          <t>Layer 2, application, presentation</t>
        </is>
      </c>
      <c r="K25" s="54" t="inlineStr">
        <is>
          <t>Domain/Service tests | DOM/Integration tests where UI is involved | Export/import or migration evidence where persistence changes | Merge and verification evidence on main</t>
        </is>
      </c>
      <c r="L25" s="54" t="inlineStr">
        <is>
          <t>CTRL-001, OPS-004</t>
        </is>
      </c>
      <c r="M25" s="54" t="inlineStr"/>
      <c r="N25" s="54" t="inlineStr">
        <is>
          <t>انتظر اعتماد CTRL-001 وCTRL-002 ثم أنشئ Workstream claim مستقلًا عند تحقق الاعتماديات.</t>
        </is>
      </c>
      <c r="O25" s="54" t="inlineStr"/>
      <c r="P25" s="54" t="inlineStr">
        <is>
          <t>https://github.com/Qays7753/Documents/tree/main/reports/2026/2026-09-19/layered-financial-management-audit-001</t>
        </is>
      </c>
      <c r="Q25" s="54" t="inlineStr">
        <is>
          <t>2026-09-19</t>
        </is>
      </c>
    </row>
    <row r="26" ht="24" customHeight="1">
      <c r="A26" s="54" t="inlineStr">
        <is>
          <t>OPS-008</t>
        </is>
      </c>
      <c r="B26" s="54" t="inlineStr">
        <is>
          <t>الوقت الفعلي مقابل المخطط</t>
        </is>
      </c>
      <c r="C26" s="54" t="inlineStr">
        <is>
          <t>FEATURE</t>
        </is>
      </c>
      <c r="D26" s="54" t="inlineStr">
        <is>
          <t>READY</t>
        </is>
      </c>
      <c r="E26" s="54" t="inlineStr">
        <is>
          <t>FIX_BEFORE_PILOT</t>
        </is>
      </c>
      <c r="F26" s="54" t="inlineStr">
        <is>
          <t>NOT_APPLICABLE</t>
        </is>
      </c>
      <c r="G26" s="54" t="inlineStr">
        <is>
          <t>P2</t>
        </is>
      </c>
      <c r="H26" s="54" t="inlineStr">
        <is>
          <t>stage-2</t>
        </is>
      </c>
      <c r="I26" s="54" t="inlineStr">
        <is>
          <t>Product owner / Manus coordination</t>
        </is>
      </c>
      <c r="J26" s="54" t="inlineStr">
        <is>
          <t>Layer 2, application, presentation</t>
        </is>
      </c>
      <c r="K26" s="54" t="inlineStr">
        <is>
          <t>Domain/Service tests | DOM/Integration tests where UI is involved | Export/import or migration evidence where persistence changes | Merge and verification evidence on main</t>
        </is>
      </c>
      <c r="L26" s="54" t="inlineStr">
        <is>
          <t>CTRL-001, OPS-004</t>
        </is>
      </c>
      <c r="M26" s="54" t="inlineStr"/>
      <c r="N26" s="54" t="inlineStr">
        <is>
          <t>انتظر اعتماد CTRL-001 وCTRL-002 ثم أنشئ Workstream claim مستقلًا عند تحقق الاعتماديات.</t>
        </is>
      </c>
      <c r="O26" s="54" t="inlineStr"/>
      <c r="P26" s="54" t="inlineStr">
        <is>
          <t>https://github.com/Qays7753/Documents/tree/main/reports/2026/2026-09-19/layered-financial-management-audit-001</t>
        </is>
      </c>
      <c r="Q26" s="54" t="inlineStr">
        <is>
          <t>2026-09-19</t>
        </is>
      </c>
    </row>
    <row r="27" ht="24" customHeight="1">
      <c r="A27" s="54" t="inlineStr">
        <is>
          <t>AUDIT-001</t>
        </is>
      </c>
      <c r="B27" s="54" t="inlineStr">
        <is>
          <t>تدقيق مستقل نهائي قبل الـPilot</t>
        </is>
      </c>
      <c r="C27" s="54" t="inlineStr">
        <is>
          <t>QUALITY</t>
        </is>
      </c>
      <c r="D27" s="54" t="inlineStr">
        <is>
          <t>BACKLOG</t>
        </is>
      </c>
      <c r="E27" s="54" t="inlineStr">
        <is>
          <t>RELEASE_GATE</t>
        </is>
      </c>
      <c r="F27" s="54" t="inlineStr">
        <is>
          <t>NOT_APPLICABLE</t>
        </is>
      </c>
      <c r="G27" s="54" t="inlineStr">
        <is>
          <t>P1</t>
        </is>
      </c>
      <c r="H27" s="54" t="inlineStr">
        <is>
          <t>stage-9</t>
        </is>
      </c>
      <c r="I27" s="54" t="inlineStr">
        <is>
          <t>Product owner / Manus coordination</t>
        </is>
      </c>
      <c r="J27" s="54" t="inlineStr">
        <is>
          <t>uat, audit, cross-layer</t>
        </is>
      </c>
      <c r="K27" s="54" t="inlineStr">
        <is>
          <t>Focused automated tests | Failure/recovery path where applicable | Evidence on main or explicit device limitation</t>
        </is>
      </c>
      <c r="L27" s="54" t="inlineStr">
        <is>
          <t>UAT-001</t>
        </is>
      </c>
      <c r="M27" s="54" t="inlineStr"/>
      <c r="N27" s="54" t="inlineStr">
        <is>
          <t>حوّل البند إلى READY بعد تحقق الاعتماديات (UAT-001) ومعيار القبول.</t>
        </is>
      </c>
      <c r="O27" s="54" t="inlineStr"/>
      <c r="P27" s="54" t="inlineStr">
        <is>
          <t>docs/operations/control/README.md</t>
        </is>
      </c>
      <c r="Q27" s="54" t="inlineStr">
        <is>
          <t>2026-09-19</t>
        </is>
      </c>
    </row>
    <row r="28" ht="24" customHeight="1">
      <c r="A28" s="54" t="inlineStr">
        <is>
          <t>UAT-001</t>
        </is>
      </c>
      <c r="B28" s="54" t="inlineStr">
        <is>
          <t>قبول داخلي ببيانات Demo كاملة</t>
        </is>
      </c>
      <c r="C28" s="54" t="inlineStr">
        <is>
          <t>QUALITY</t>
        </is>
      </c>
      <c r="D28" s="54" t="inlineStr">
        <is>
          <t>BACKLOG</t>
        </is>
      </c>
      <c r="E28" s="54" t="inlineStr">
        <is>
          <t>RELEASE_GATE</t>
        </is>
      </c>
      <c r="F28" s="54" t="inlineStr">
        <is>
          <t>NOT_APPLICABLE</t>
        </is>
      </c>
      <c r="G28" s="54" t="inlineStr">
        <is>
          <t>P1</t>
        </is>
      </c>
      <c r="H28" s="54" t="inlineStr">
        <is>
          <t>stage-9</t>
        </is>
      </c>
      <c r="I28" s="54" t="inlineStr">
        <is>
          <t>Product owner / Manus coordination</t>
        </is>
      </c>
      <c r="J28" s="54" t="inlineStr">
        <is>
          <t>uat, audit, cross-layer</t>
        </is>
      </c>
      <c r="K28" s="54" t="inlineStr">
        <is>
          <t>Focused automated tests | Failure/recovery path where applicable | Evidence on main or explicit device limitation</t>
        </is>
      </c>
      <c r="L28" s="54" t="inlineStr">
        <is>
          <t>DEVICE-001, LEGAL-001</t>
        </is>
      </c>
      <c r="M28" s="54" t="inlineStr"/>
      <c r="N28" s="54" t="inlineStr">
        <is>
          <t>حوّل البند إلى READY بعد تحقق الاعتماديات (DEVICE-001, LEGAL-001) ومعيار القبول.</t>
        </is>
      </c>
      <c r="O28" s="54" t="inlineStr"/>
      <c r="P28" s="54" t="inlineStr">
        <is>
          <t>docs/operations/control/README.md</t>
        </is>
      </c>
      <c r="Q28" s="54" t="inlineStr">
        <is>
          <t>2026-09-19</t>
        </is>
      </c>
    </row>
    <row r="29" ht="24" customHeight="1">
      <c r="A29" s="54" t="inlineStr">
        <is>
          <t>G-001</t>
        </is>
      </c>
      <c r="B29" s="54" t="inlineStr">
        <is>
          <t>فخ الاستهلاك المزدوج عند التسليم</t>
        </is>
      </c>
      <c r="C29" s="54" t="inlineStr">
        <is>
          <t>DEFECT</t>
        </is>
      </c>
      <c r="D29" s="54" t="inlineStr">
        <is>
          <t>IN_REVIEW</t>
        </is>
      </c>
      <c r="E29" s="54" t="inlineStr">
        <is>
          <t>FIX_BEFORE_PILOT</t>
        </is>
      </c>
      <c r="F29" s="54" t="inlineStr">
        <is>
          <t>NOT_APPLICABLE</t>
        </is>
      </c>
      <c r="G29" s="54" t="inlineStr">
        <is>
          <t>P1</t>
        </is>
      </c>
      <c r="H29" s="54" t="inlineStr">
        <is>
          <t>audit-2026-09-19</t>
        </is>
      </c>
      <c r="I29" s="54" t="inlineStr">
        <is>
          <t>Product owner / Manus coordination</t>
        </is>
      </c>
      <c r="J29" s="54" t="inlineStr">
        <is>
          <t>cross-layer</t>
        </is>
      </c>
      <c r="K29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29" s="54" t="inlineStr"/>
      <c r="M29" s="54" t="inlineStr"/>
      <c r="N29" s="54" t="inlineStr">
        <is>
          <t>مراجعة المالك لـPR #190 (الحزمة أ) ثم الدمج والتحقق على main.</t>
        </is>
      </c>
      <c r="O29" s="54" t="inlineStr"/>
      <c r="P29" s="54" t="inlineStr">
        <is>
          <t>https://github.com/Qays7753/Documents/tree/main/reports/2026/2026-09-19/layered-financial-management-audit-001</t>
        </is>
      </c>
      <c r="Q29" s="54" t="inlineStr">
        <is>
          <t>2026-09-20</t>
        </is>
      </c>
    </row>
    <row r="30" ht="24" customHeight="1">
      <c r="A30" s="54" t="inlineStr">
        <is>
          <t>GOV-001</t>
        </is>
      </c>
      <c r="B30" s="54" t="inlineStr">
        <is>
          <t>مصالحة G10-A مع تعارض عقد C1</t>
        </is>
      </c>
      <c r="C30" s="54" t="inlineStr">
        <is>
          <t>DECISION</t>
        </is>
      </c>
      <c r="D30" s="54" t="inlineStr">
        <is>
          <t>REVIEW_REQUIRED</t>
        </is>
      </c>
      <c r="E30" s="54" t="inlineStr">
        <is>
          <t>GOVERNANCE</t>
        </is>
      </c>
      <c r="F30" s="54" t="inlineStr">
        <is>
          <t>NOT_APPLICABLE</t>
        </is>
      </c>
      <c r="G30" s="54" t="inlineStr">
        <is>
          <t>P1</t>
        </is>
      </c>
      <c r="H30" s="54" t="inlineStr">
        <is>
          <t>governance</t>
        </is>
      </c>
      <c r="I30" s="54" t="inlineStr">
        <is>
          <t>Product owner / Manus coordination</t>
        </is>
      </c>
      <c r="J30" s="54" t="inlineStr">
        <is>
          <t>governance, contracts</t>
        </is>
      </c>
      <c r="K30" s="54" t="inlineStr">
        <is>
          <t>Domain/Service tests | DOM/Integration tests where UI is involved | Export/import or migration evidence where persistence changes | Merge and verification evidence on main</t>
        </is>
      </c>
      <c r="L30" s="54" t="inlineStr"/>
      <c r="M30" s="54" t="inlineStr">
        <is>
          <t>هل يوحّد G10-A عقد C1 أم يبقى مؤجلًا؟</t>
        </is>
      </c>
      <c r="N30" s="54" t="inlineStr">
        <is>
          <t>يُراجع التعارض مع المالك ثم يثبت القرار كعقد أو تأجيل؛ لا يبدأ تنفيذًا صامتًا.</t>
        </is>
      </c>
      <c r="O30" s="54" t="inlineStr"/>
      <c r="P30" s="54" t="inlineStr">
        <is>
          <t>https://github.com/Qays7753/Documents/tree/main/reports/2026/2026-09-19/layered-financial-management-audit-001</t>
        </is>
      </c>
      <c r="Q30" s="54" t="inlineStr">
        <is>
          <t>2026-09-19</t>
        </is>
      </c>
    </row>
    <row r="31" ht="24" customHeight="1">
      <c r="A31" s="54" t="inlineStr">
        <is>
          <t>G-002</t>
        </is>
      </c>
      <c r="B31" s="54" t="inlineStr">
        <is>
          <t>ذرية تخصيص دفعة المورد للمحفظة</t>
        </is>
      </c>
      <c r="C31" s="54" t="inlineStr">
        <is>
          <t>DEFECT</t>
        </is>
      </c>
      <c r="D31" s="54" t="inlineStr">
        <is>
          <t>IN_REVIEW</t>
        </is>
      </c>
      <c r="E31" s="54" t="inlineStr">
        <is>
          <t>FIX_BEFORE_PILOT</t>
        </is>
      </c>
      <c r="F31" s="54" t="inlineStr">
        <is>
          <t>NOT_APPLICABLE</t>
        </is>
      </c>
      <c r="G31" s="54" t="inlineStr">
        <is>
          <t>P2</t>
        </is>
      </c>
      <c r="H31" s="54" t="inlineStr">
        <is>
          <t>audit-2026-09-19</t>
        </is>
      </c>
      <c r="I31" s="54" t="inlineStr">
        <is>
          <t>Product owner / Manus coordination</t>
        </is>
      </c>
      <c r="J31" s="54" t="inlineStr">
        <is>
          <t>cross-layer</t>
        </is>
      </c>
      <c r="K31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31" s="54" t="inlineStr"/>
      <c r="M31" s="54" t="inlineStr"/>
      <c r="N31" s="54" t="inlineStr">
        <is>
          <t>مراجعة المالك لـPR #190 (الحزمة أ) ثم الدمج والتحقق على main.</t>
        </is>
      </c>
      <c r="O31" s="54" t="inlineStr"/>
      <c r="P31" s="54" t="inlineStr">
        <is>
          <t>https://github.com/Qays7753/Documents/tree/main/reports/2026/2026-09-19/layered-financial-management-audit-001</t>
        </is>
      </c>
      <c r="Q31" s="54" t="inlineStr">
        <is>
          <t>2026-09-20</t>
        </is>
      </c>
    </row>
    <row r="32" ht="24" customHeight="1">
      <c r="A32" s="54" t="inlineStr">
        <is>
          <t>G-003</t>
        </is>
      </c>
      <c r="B32" s="54" t="inlineStr">
        <is>
          <t>حرس القراءة القديمة عند حفظ الطلب</t>
        </is>
      </c>
      <c r="C32" s="54" t="inlineStr">
        <is>
          <t>DEFECT</t>
        </is>
      </c>
      <c r="D32" s="54" t="inlineStr">
        <is>
          <t>IN_REVIEW</t>
        </is>
      </c>
      <c r="E32" s="54" t="inlineStr">
        <is>
          <t>FIX_BEFORE_PILOT</t>
        </is>
      </c>
      <c r="F32" s="54" t="inlineStr">
        <is>
          <t>NOT_APPLICABLE</t>
        </is>
      </c>
      <c r="G32" s="54" t="inlineStr">
        <is>
          <t>P2</t>
        </is>
      </c>
      <c r="H32" s="54" t="inlineStr">
        <is>
          <t>audit-2026-09-19</t>
        </is>
      </c>
      <c r="I32" s="54" t="inlineStr">
        <is>
          <t>Product owner / Manus coordination</t>
        </is>
      </c>
      <c r="J32" s="54" t="inlineStr">
        <is>
          <t>cross-layer</t>
        </is>
      </c>
      <c r="K32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32" s="54" t="inlineStr"/>
      <c r="M32" s="54" t="inlineStr"/>
      <c r="N32" s="54" t="inlineStr">
        <is>
          <t>مراجعة المالك لـPR #190 (الحزمة أ) ثم الدمج والتحقق على main.</t>
        </is>
      </c>
      <c r="O32" s="54" t="inlineStr"/>
      <c r="P32" s="54" t="inlineStr">
        <is>
          <t>https://github.com/Qays7753/Documents/tree/main/reports/2026/2026-09-19/layered-financial-management-audit-001</t>
        </is>
      </c>
      <c r="Q32" s="54" t="inlineStr">
        <is>
          <t>2026-09-20</t>
        </is>
      </c>
    </row>
    <row r="33" ht="24" customHeight="1">
      <c r="A33" s="54" t="inlineStr">
        <is>
          <t>G-004</t>
        </is>
      </c>
      <c r="B33" s="54" t="inlineStr">
        <is>
          <t>مطابقة تعطيل القدرات للوعد المرئي</t>
        </is>
      </c>
      <c r="C33" s="54" t="inlineStr">
        <is>
          <t>DEFECT</t>
        </is>
      </c>
      <c r="D33" s="54" t="inlineStr">
        <is>
          <t>REVIEW_REQUIRED</t>
        </is>
      </c>
      <c r="E33" s="54" t="inlineStr">
        <is>
          <t>FIX_BEFORE_PILOT</t>
        </is>
      </c>
      <c r="F33" s="54" t="inlineStr">
        <is>
          <t>NOT_APPLICABLE</t>
        </is>
      </c>
      <c r="G33" s="54" t="inlineStr">
        <is>
          <t>P2</t>
        </is>
      </c>
      <c r="H33" s="54" t="inlineStr">
        <is>
          <t>audit-2026-09-19</t>
        </is>
      </c>
      <c r="I33" s="54" t="inlineStr">
        <is>
          <t>Product owner / Manus coordination</t>
        </is>
      </c>
      <c r="J33" s="54" t="inlineStr">
        <is>
          <t>cross-layer</t>
        </is>
      </c>
      <c r="K33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33" s="54" t="inlineStr"/>
      <c r="M33" s="54" t="inlineStr"/>
      <c r="N33" s="54" t="inlineStr">
        <is>
          <t>مراجعة قرار الوعد ثم اختيار إصلاح العرض أو تضييق النص بعقد واضح.</t>
        </is>
      </c>
      <c r="O33" s="54" t="inlineStr"/>
      <c r="P33" s="54" t="inlineStr">
        <is>
          <t>https://github.com/Qays7753/Documents/tree/main/reports/2026/2026-09-19/layered-financial-management-audit-001</t>
        </is>
      </c>
      <c r="Q33" s="54" t="inlineStr">
        <is>
          <t>2026-09-19</t>
        </is>
      </c>
    </row>
    <row r="34" ht="24" customHeight="1">
      <c r="A34" s="54" t="inlineStr">
        <is>
          <t>G-005</t>
        </is>
      </c>
      <c r="B34" s="54" t="inlineStr">
        <is>
          <t>عزل فشل قراءات صفحة المالية</t>
        </is>
      </c>
      <c r="C34" s="54" t="inlineStr">
        <is>
          <t>DEFECT</t>
        </is>
      </c>
      <c r="D34" s="54" t="inlineStr">
        <is>
          <t>REVIEW_REQUIRED</t>
        </is>
      </c>
      <c r="E34" s="54" t="inlineStr">
        <is>
          <t>FIX_BEFORE_PILOT</t>
        </is>
      </c>
      <c r="F34" s="54" t="inlineStr">
        <is>
          <t>NOT_APPLICABLE</t>
        </is>
      </c>
      <c r="G34" s="54" t="inlineStr">
        <is>
          <t>P2</t>
        </is>
      </c>
      <c r="H34" s="54" t="inlineStr">
        <is>
          <t>audit-2026-09-19</t>
        </is>
      </c>
      <c r="I34" s="54" t="inlineStr">
        <is>
          <t>Product owner / Manus coordination</t>
        </is>
      </c>
      <c r="J34" s="54" t="inlineStr">
        <is>
          <t>cross-layer</t>
        </is>
      </c>
      <c r="K34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34" s="54" t="inlineStr"/>
      <c r="M34" s="54" t="inlineStr"/>
      <c r="N34" s="54" t="inlineStr">
        <is>
          <t>تقييم خطر القراءة ثم إنشاء Claim للتجزئة إذا أقر المالك النطاق.</t>
        </is>
      </c>
      <c r="O34" s="54" t="inlineStr"/>
      <c r="P34" s="54" t="inlineStr">
        <is>
          <t>https://github.com/Qays7753/Documents/tree/main/reports/2026/2026-09-19/layered-financial-management-audit-001</t>
        </is>
      </c>
      <c r="Q34" s="54" t="inlineStr">
        <is>
          <t>2026-09-19</t>
        </is>
      </c>
    </row>
    <row r="35" ht="24" customHeight="1">
      <c r="A35" s="54" t="inlineStr">
        <is>
          <t>G-006</t>
        </is>
      </c>
      <c r="B35" s="54" t="inlineStr">
        <is>
          <t>توحيد حرس السحب بين مساري مال المالك</t>
        </is>
      </c>
      <c r="C35" s="54" t="inlineStr">
        <is>
          <t>DEFECT</t>
        </is>
      </c>
      <c r="D35" s="54" t="inlineStr">
        <is>
          <t>IN_REVIEW</t>
        </is>
      </c>
      <c r="E35" s="54" t="inlineStr">
        <is>
          <t>FIX_BEFORE_PILOT</t>
        </is>
      </c>
      <c r="F35" s="54" t="inlineStr">
        <is>
          <t>NOT_APPLICABLE</t>
        </is>
      </c>
      <c r="G35" s="54" t="inlineStr">
        <is>
          <t>P3</t>
        </is>
      </c>
      <c r="H35" s="54" t="inlineStr">
        <is>
          <t>audit-2026-09-19</t>
        </is>
      </c>
      <c r="I35" s="54" t="inlineStr">
        <is>
          <t>Product owner / Manus coordination</t>
        </is>
      </c>
      <c r="J35" s="54" t="inlineStr">
        <is>
          <t>cross-layer</t>
        </is>
      </c>
      <c r="K35" s="54" t="inlineStr">
        <is>
          <t>Domain/Service tests where the invariant is owned | DOM/Integration test for the affected journey | Live scenario with before/after evidence | Retry, partial failure, concurrency, or stale-read test as applicable | No regression in existing financial calculations | Merge and verification evidence on main</t>
        </is>
      </c>
      <c r="L35" s="54" t="inlineStr"/>
      <c r="M35" s="54" t="inlineStr"/>
      <c r="N35" s="54" t="inlineStr">
        <is>
          <t>مراجعة المالك لـPR #190 (الحزمة أ) ثم الدمج والتحقق على main.</t>
        </is>
      </c>
      <c r="O35" s="54" t="inlineStr"/>
      <c r="P35" s="54" t="inlineStr">
        <is>
          <t>https://github.com/Qays7753/Documents/tree/main/reports/2026/2026-09-19/layered-financial-management-audit-001</t>
        </is>
      </c>
      <c r="Q35" s="54" t="inlineStr">
        <is>
          <t>2026-09-20</t>
        </is>
      </c>
    </row>
    <row r="36" ht="24" customHeight="1">
      <c r="A36" s="54" t="inlineStr">
        <is>
          <t>SCOPE-001</t>
        </is>
      </c>
      <c r="B36" s="54" t="inlineStr">
        <is>
          <t>بوابة POS وCRM وWhatsApp والمزامنة وAuth والصلاحيات وCloud</t>
        </is>
      </c>
      <c r="C36" s="54" t="inlineStr">
        <is>
          <t>DECISION</t>
        </is>
      </c>
      <c r="D36" s="54" t="inlineStr">
        <is>
          <t>DEFERRED</t>
        </is>
      </c>
      <c r="E36" s="54" t="inlineStr">
        <is>
          <t>FUTURE_SCOPE</t>
        </is>
      </c>
      <c r="F36" s="54" t="inlineStr">
        <is>
          <t>OUT_OF_SCOPE</t>
        </is>
      </c>
      <c r="G36" s="54" t="inlineStr">
        <is>
          <t>P1</t>
        </is>
      </c>
      <c r="H36" s="54" t="inlineStr">
        <is>
          <t>future-scope</t>
        </is>
      </c>
      <c r="I36" s="54" t="inlineStr">
        <is>
          <t>Product owner / Manus coordination</t>
        </is>
      </c>
      <c r="J36" s="54" t="inlineStr">
        <is>
          <t>future-scope</t>
        </is>
      </c>
      <c r="K36" s="54" t="inlineStr">
        <is>
          <t>Domain/Service tests | DOM/Integration tests where UI is involved | Export/import or migration evidence where persistence changes | Merge and verification evidence on main</t>
        </is>
      </c>
      <c r="L36" s="54" t="inlineStr"/>
      <c r="M36" s="54" t="inlineStr">
        <is>
          <t>تحديد بوابة مستقلة لكل توسع مستقبلًا.</t>
        </is>
      </c>
      <c r="N36" s="54" t="inlineStr">
        <is>
          <t>لا تبدأ؛ أعد الفتح فقط بعد دليل، عقد، وقرار مالك مستقل خارج نطاق Pilot الحالي.</t>
        </is>
      </c>
      <c r="O36" s="54" t="inlineStr">
        <is>
          <t>OUT_OF_SCOPE؛ لا يدخل PRE-PILOT ولا يتحول إلى Feature قبل نطاق وعقد وقرار مستقل.</t>
        </is>
      </c>
      <c r="P36" s="54" t="inlineStr">
        <is>
          <t>https://github.com/Qays7753/Documents/tree/main/reports/2026/2026-09-19/layered-financial-management-audit-001</t>
        </is>
      </c>
      <c r="Q36" s="54" t="inlineStr">
        <is>
          <t>2026-09-19</t>
        </is>
      </c>
    </row>
    <row r="37">
      <c r="A37" s="54" t="inlineStr">
        <is>
          <t>UX-001</t>
        </is>
      </c>
      <c r="B37" s="54" t="inlineStr">
        <is>
          <t>إعادة تصميم UI وUX جذرية</t>
        </is>
      </c>
      <c r="C37" s="54" t="inlineStr">
        <is>
          <t>FEATURE</t>
        </is>
      </c>
      <c r="D37" s="54" t="inlineStr">
        <is>
          <t>DEFERRED</t>
        </is>
      </c>
      <c r="E37" s="54" t="inlineStr">
        <is>
          <t>FIX_BEFORE_PILOT</t>
        </is>
      </c>
      <c r="F37" s="54" t="inlineStr">
        <is>
          <t>DEPENDENCY_GATE_REQUIRED_BEFORE_PILOT</t>
        </is>
      </c>
      <c r="G37" s="54" t="inlineStr">
        <is>
          <t>P1</t>
        </is>
      </c>
      <c r="H37" s="54" t="inlineStr">
        <is>
          <t>stage-5</t>
        </is>
      </c>
      <c r="I37" s="54" t="inlineStr">
        <is>
          <t>Product owner / Manus coordination</t>
        </is>
      </c>
      <c r="J37" s="54" t="inlineStr">
        <is>
          <t>ui/ux, presentation</t>
        </is>
      </c>
      <c r="K37" s="54" t="inlineStr">
        <is>
          <t>Domain/Service tests | DOM/Integration tests where UI is involved | Export/import or migration evidence where persistence changes | Merge and verification evidence on main</t>
        </is>
      </c>
      <c r="L37" s="54" t="inlineStr">
        <is>
          <t>CLEAN-001</t>
        </is>
      </c>
      <c r="M37" s="54" t="inlineStr">
        <is>
          <t>اعتماد الاتجاه البصري النهائي ونتائج Benchmark قبل التنفيذ.</t>
        </is>
      </c>
      <c r="N37" s="54" t="inlineStr">
        <is>
          <t>اعتمد الاتجاه وBenchmark بعد استقرار الوظائف، ثم افتح Claim UI/UX؛ يبقى مطلوبًا قبل Pilot.</t>
        </is>
      </c>
      <c r="O37" s="54" t="inlineStr">
        <is>
          <t>تنفيذ مؤجل حتى استقرار الوظائف واعتماد الاتجاه وBenchmark، لكنه متطلب Gate قبل Pilot؛ لا يتجاوز بوابة الإصدار.</t>
        </is>
      </c>
      <c r="P37" s="54" t="inlineStr">
        <is>
          <t>reports/agent-report/2026-09-17_wave-4-1-product-ux-blueprint/report.md</t>
        </is>
      </c>
      <c r="Q37" s="54" t="inlineStr">
        <is>
          <t>2026-09-19</t>
        </is>
      </c>
    </row>
    <row r="38">
      <c r="A38" s="54" t="inlineStr">
        <is>
          <t>BE-001</t>
        </is>
      </c>
      <c r="B38" s="54" t="inlineStr">
        <is>
          <t>مصاريف متكررة محلية</t>
        </is>
      </c>
      <c r="C38" s="54" t="inlineStr">
        <is>
          <t>FEATURE</t>
        </is>
      </c>
      <c r="D38" s="54" t="inlineStr">
        <is>
          <t>DEFERRED</t>
        </is>
      </c>
      <c r="E38" s="54" t="inlineStr">
        <is>
          <t>HISTORICAL</t>
        </is>
      </c>
      <c r="F38" s="54" t="inlineStr">
        <is>
          <t>DUPLICATE_HISTORICAL</t>
        </is>
      </c>
      <c r="G38" s="54" t="inlineStr">
        <is>
          <t>P2</t>
        </is>
      </c>
      <c r="H38" s="54" t="inlineStr">
        <is>
          <t>build-after-evidence</t>
        </is>
      </c>
      <c r="I38" s="54" t="inlineStr">
        <is>
          <t>Product owner / Manus coordination</t>
        </is>
      </c>
      <c r="J38" s="54" t="inlineStr">
        <is>
          <t>future-capability</t>
        </is>
      </c>
      <c r="K38" s="54" t="inlineStr">
        <is>
          <t>Domain/Service tests | DOM/Integration tests where UI is involved | Export/import or migration evidence where persistence changes | Merge and verification evidence on main</t>
        </is>
      </c>
      <c r="L38" s="54" t="inlineStr"/>
      <c r="M38" s="54" t="inlineStr"/>
      <c r="N38" s="54" t="inlineStr">
        <is>
          <t>لا تنشئ Claim مستقلًا؛ تابع ('DUPLICATE_HISTORICAL', 'OPS-003') بوصفه المالك الحي للقدرة، وأبقِ هذا السجل مرجعًا تاريخيًا.</t>
        </is>
      </c>
      <c r="O38" s="54" t="inlineStr">
        <is>
          <t>DUPLICATE_HISTORICAL؛ محفوظ للتتبع ولا يتجاوز البوابة ولا يفتح تنفيذًا موازيًا.</t>
        </is>
      </c>
      <c r="P38" s="54" t="inlineStr">
        <is>
          <t>https://github.com/Qays7753/Documents/tree/main/reports/2026/2026-09-19/layered-financial-management-audit-001</t>
        </is>
      </c>
      <c r="Q38" s="54" t="inlineStr">
        <is>
          <t>2026-09-19</t>
        </is>
      </c>
    </row>
    <row r="39">
      <c r="A39" s="54" t="inlineStr">
        <is>
          <t>BE-002</t>
        </is>
      </c>
      <c r="B39" s="54" t="inlineStr">
        <is>
          <t>ميزانيات وأهداف بسيطة</t>
        </is>
      </c>
      <c r="C39" s="54" t="inlineStr">
        <is>
          <t>FEATURE</t>
        </is>
      </c>
      <c r="D39" s="54" t="inlineStr">
        <is>
          <t>DEFERRED</t>
        </is>
      </c>
      <c r="E39" s="54" t="inlineStr">
        <is>
          <t>HISTORICAL</t>
        </is>
      </c>
      <c r="F39" s="54" t="inlineStr">
        <is>
          <t>DUPLICATE_HISTORICAL</t>
        </is>
      </c>
      <c r="G39" s="54" t="inlineStr">
        <is>
          <t>P2</t>
        </is>
      </c>
      <c r="H39" s="54" t="inlineStr">
        <is>
          <t>build-after-evidence</t>
        </is>
      </c>
      <c r="I39" s="54" t="inlineStr">
        <is>
          <t>Product owner / Manus coordination</t>
        </is>
      </c>
      <c r="J39" s="54" t="inlineStr">
        <is>
          <t>future-capability</t>
        </is>
      </c>
      <c r="K39" s="54" t="inlineStr">
        <is>
          <t>Domain/Service tests | DOM/Integration tests where UI is involved | Export/import or migration evidence where persistence changes | Merge and verification evidence on main</t>
        </is>
      </c>
      <c r="L39" s="54" t="inlineStr"/>
      <c r="M39" s="54" t="inlineStr"/>
      <c r="N39" s="54" t="inlineStr">
        <is>
          <t>لا تنشئ Claim مستقلًا؛ تابع ('DUPLICATE_HISTORICAL', 'FIN-002') بوصفه المالك الحي للقدرة، وأبقِ هذا السجل مرجعًا تاريخيًا.</t>
        </is>
      </c>
      <c r="O39" s="54" t="inlineStr">
        <is>
          <t>DUPLICATE_HISTORICAL؛ محفوظ للتتبع ولا يتجاوز البوابة ولا يفتح تنفيذًا موازيًا.</t>
        </is>
      </c>
      <c r="P39" s="54" t="inlineStr">
        <is>
          <t>https://github.com/Qays7753/Documents/tree/main/reports/2026/2026-09-19/layered-financial-management-audit-001</t>
        </is>
      </c>
      <c r="Q39" s="54" t="inlineStr">
        <is>
          <t>2026-09-19</t>
        </is>
      </c>
    </row>
    <row r="40">
      <c r="A40" s="54" t="inlineStr">
        <is>
          <t>BE-003</t>
        </is>
      </c>
      <c r="B40" s="54" t="inlineStr">
        <is>
          <t>ربحية المنتج عبر الفترات بمعرف كتالوج ثابت</t>
        </is>
      </c>
      <c r="C40" s="54" t="inlineStr">
        <is>
          <t>FEATURE</t>
        </is>
      </c>
      <c r="D40" s="54" t="inlineStr">
        <is>
          <t>DEFERRED</t>
        </is>
      </c>
      <c r="E40" s="54" t="inlineStr">
        <is>
          <t>HISTORICAL</t>
        </is>
      </c>
      <c r="F40" s="54" t="inlineStr">
        <is>
          <t>DUPLICATE_HISTORICAL</t>
        </is>
      </c>
      <c r="G40" s="54" t="inlineStr">
        <is>
          <t>P2</t>
        </is>
      </c>
      <c r="H40" s="54" t="inlineStr">
        <is>
          <t>build-after-evidence</t>
        </is>
      </c>
      <c r="I40" s="54" t="inlineStr">
        <is>
          <t>Product owner / Manus coordination</t>
        </is>
      </c>
      <c r="J40" s="54" t="inlineStr">
        <is>
          <t>future-capability</t>
        </is>
      </c>
      <c r="K40" s="54" t="inlineStr">
        <is>
          <t>Domain/Service tests | DOM/Integration tests where UI is involved | Export/import or migration evidence where persistence changes | Merge and verification evidence on main</t>
        </is>
      </c>
      <c r="L40" s="54" t="inlineStr"/>
      <c r="M40" s="54" t="inlineStr"/>
      <c r="N40" s="54" t="inlineStr">
        <is>
          <t>لا تنشئ Claim مستقلًا؛ تابع ('DUPLICATE_HISTORICAL', 'FIN-006') بوصفه المالك الحي للقدرة، وأبقِ هذا السجل مرجعًا تاريخيًا.</t>
        </is>
      </c>
      <c r="O40" s="54" t="inlineStr">
        <is>
          <t>DUPLICATE_HISTORICAL؛ محفوظ للتتبع ولا يتجاوز البوابة ولا يفتح تنفيذًا موازيًا.</t>
        </is>
      </c>
      <c r="P40" s="54" t="inlineStr">
        <is>
          <t>https://github.com/Qays7753/Documents/tree/main/reports/2026/2026-09-19/layered-financial-management-audit-001</t>
        </is>
      </c>
      <c r="Q40" s="54" t="inlineStr">
        <is>
          <t>2026-09-19</t>
        </is>
      </c>
    </row>
    <row r="41">
      <c r="A41" s="54" t="inlineStr">
        <is>
          <t>BE-004</t>
        </is>
      </c>
      <c r="B41" s="54" t="inlineStr">
        <is>
          <t>إغلاق فترة رسمي</t>
        </is>
      </c>
      <c r="C41" s="54" t="inlineStr">
        <is>
          <t>FEATURE</t>
        </is>
      </c>
      <c r="D41" s="54" t="inlineStr">
        <is>
          <t>DEFERRED</t>
        </is>
      </c>
      <c r="E41" s="54" t="inlineStr">
        <is>
          <t>PILOT_VALIDATION</t>
        </is>
      </c>
      <c r="F41" s="54" t="inlineStr">
        <is>
          <t>PILOT_EVIDENCE_REQUIRED</t>
        </is>
      </c>
      <c r="G41" s="54" t="inlineStr">
        <is>
          <t>P2</t>
        </is>
      </c>
      <c r="H41" s="54" t="inlineStr">
        <is>
          <t>build-after-evidence</t>
        </is>
      </c>
      <c r="I41" s="54" t="inlineStr">
        <is>
          <t>Product owner / Manus coordination</t>
        </is>
      </c>
      <c r="J41" s="54" t="inlineStr">
        <is>
          <t>future-capability</t>
        </is>
      </c>
      <c r="K41" s="54" t="inlineStr">
        <is>
          <t>Domain/Service tests | DOM/Integration tests where UI is involved | Export/import or migration evidence where persistence changes | Merge and verification evidence on main</t>
        </is>
      </c>
      <c r="L41" s="54" t="inlineStr"/>
      <c r="M41" s="54" t="inlineStr"/>
      <c r="N41" s="54" t="inlineStr">
        <is>
          <t>أضف السؤال إلى بروتوكول Pilot، ثم سجّل النتيجة والقرار قبل فتح أي تنفيذ.</t>
        </is>
      </c>
      <c r="O41" s="54" t="inlineStr">
        <is>
          <t>PILOT_EVIDENCE_REQUIRED؛ لا يبدأ قبل دليل Pilot وقرار مالك، ولا يمثل متطلبًا مستقلًا قبل Pilot.</t>
        </is>
      </c>
      <c r="P41" s="54" t="inlineStr">
        <is>
          <t>https://github.com/Qays7753/Documents/tree/main/reports/2026/2026-09-19/layered-financial-management-audit-001</t>
        </is>
      </c>
      <c r="Q41" s="54" t="inlineStr">
        <is>
          <t>2026-09-19</t>
        </is>
      </c>
    </row>
    <row r="42">
      <c r="A42" s="54" t="inlineStr">
        <is>
          <t>BE-005</t>
        </is>
      </c>
      <c r="B42" s="54" t="inlineStr">
        <is>
          <t>تقادم الديون بشرائح 30/60/90</t>
        </is>
      </c>
      <c r="C42" s="54" t="inlineStr">
        <is>
          <t>FEATURE</t>
        </is>
      </c>
      <c r="D42" s="54" t="inlineStr">
        <is>
          <t>DEFERRED</t>
        </is>
      </c>
      <c r="E42" s="54" t="inlineStr">
        <is>
          <t>PILOT_VALIDATION</t>
        </is>
      </c>
      <c r="F42" s="54" t="inlineStr">
        <is>
          <t>PILOT_EVIDENCE_REQUIRED</t>
        </is>
      </c>
      <c r="G42" s="54" t="inlineStr">
        <is>
          <t>P2</t>
        </is>
      </c>
      <c r="H42" s="54" t="inlineStr">
        <is>
          <t>build-after-evidence</t>
        </is>
      </c>
      <c r="I42" s="54" t="inlineStr">
        <is>
          <t>Product owner / Manus coordination</t>
        </is>
      </c>
      <c r="J42" s="54" t="inlineStr">
        <is>
          <t>future-capability</t>
        </is>
      </c>
      <c r="K42" s="54" t="inlineStr">
        <is>
          <t>Domain/Service tests | DOM/Integration tests where UI is involved | Export/import or migration evidence where persistence changes | Merge and verification evidence on main</t>
        </is>
      </c>
      <c r="L42" s="54" t="inlineStr"/>
      <c r="M42" s="54" t="inlineStr"/>
      <c r="N42" s="54" t="inlineStr">
        <is>
          <t>أضف السؤال إلى بروتوكول Pilot، ثم سجّل النتيجة والقرار قبل فتح أي تنفيذ.</t>
        </is>
      </c>
      <c r="O42" s="54" t="inlineStr">
        <is>
          <t>PILOT_EVIDENCE_REQUIRED؛ لا يبدأ قبل دليل Pilot وقرار مالك، ولا يمثل متطلبًا مستقلًا قبل Pilot.</t>
        </is>
      </c>
      <c r="P42" s="54" t="inlineStr">
        <is>
          <t>https://github.com/Qays7753/Documents/tree/main/reports/2026/2026-09-19/layered-financial-management-audit-001</t>
        </is>
      </c>
      <c r="Q42" s="54" t="inlineStr">
        <is>
          <t>2026-09-19</t>
        </is>
      </c>
    </row>
    <row r="43">
      <c r="A43" s="54" t="inlineStr">
        <is>
          <t>FIN-002</t>
        </is>
      </c>
      <c r="B43" s="54" t="inlineStr">
        <is>
          <t>ميزانيات وأهداف بسيطة</t>
        </is>
      </c>
      <c r="C43" s="54" t="inlineStr">
        <is>
          <t>FEATURE</t>
        </is>
      </c>
      <c r="D43" s="54" t="inlineStr">
        <is>
          <t>DEFERRED</t>
        </is>
      </c>
      <c r="E43" s="54" t="inlineStr">
        <is>
          <t>FIX_BEFORE_PILOT</t>
        </is>
      </c>
      <c r="F43" s="54" t="inlineStr">
        <is>
          <t>DEPENDENCY_GATE_REQUIRED_BEFORE_PILOT</t>
        </is>
      </c>
      <c r="G43" s="54" t="inlineStr">
        <is>
          <t>P2</t>
        </is>
      </c>
      <c r="H43" s="54" t="inlineStr">
        <is>
          <t>stage-3</t>
        </is>
      </c>
      <c r="I43" s="54" t="inlineStr">
        <is>
          <t>Product owner / Manus coordination</t>
        </is>
      </c>
      <c r="J43" s="54" t="inlineStr">
        <is>
          <t>Layer 3, domain, application, presentation</t>
        </is>
      </c>
      <c r="K43" s="54" t="inlineStr">
        <is>
          <t>Domain/Service tests | DOM/Integration tests where UI is involved | Export/import or migration evidence where persistence changes | Merge and verification evidence on main</t>
        </is>
      </c>
      <c r="L43" s="54" t="inlineStr">
        <is>
          <t>CTRL-001</t>
        </is>
      </c>
      <c r="M43" s="54" t="inlineStr"/>
      <c r="N43" s="54" t="inlineStr">
        <is>
          <t>أكمل الاعتماديات، ثم افتح Claim لتنفيذ أبسط ميزانية/هدف مع اختبارات عدم خلط الخطة بالحدث المالي.</t>
        </is>
      </c>
      <c r="O43" s="54" t="inlineStr">
        <is>
          <t>تنفيذ مؤجل حتى اعتماد/إكمال الاعتماديات، لكنه متطلب Gate قبل Pilot؛ الميزانيات والأهداف المبسطة مطلوبة ضمن المرحلة 3.</t>
        </is>
      </c>
      <c r="P43" s="54" t="inlineStr">
        <is>
          <t>docs/operations/control/README.md</t>
        </is>
      </c>
      <c r="Q43" s="54" t="inlineStr">
        <is>
          <t>2026-09-19</t>
        </is>
      </c>
    </row>
    <row r="44">
      <c r="A44" s="54" t="inlineStr">
        <is>
          <t>FIN-006</t>
        </is>
      </c>
      <c r="B44" s="54" t="inlineStr">
        <is>
          <t>ربحية المنتج بمعرف كتالوج ثابت</t>
        </is>
      </c>
      <c r="C44" s="54" t="inlineStr">
        <is>
          <t>FEATURE</t>
        </is>
      </c>
      <c r="D44" s="54" t="inlineStr">
        <is>
          <t>DEFERRED</t>
        </is>
      </c>
      <c r="E44" s="54" t="inlineStr">
        <is>
          <t>FIX_BEFORE_PILOT</t>
        </is>
      </c>
      <c r="F44" s="54" t="inlineStr">
        <is>
          <t>DEPENDENCY_GATE_REQUIRED_BEFORE_PILOT</t>
        </is>
      </c>
      <c r="G44" s="54" t="inlineStr">
        <is>
          <t>P2</t>
        </is>
      </c>
      <c r="H44" s="54" t="inlineStr">
        <is>
          <t>stage-3</t>
        </is>
      </c>
      <c r="I44" s="54" t="inlineStr">
        <is>
          <t>Product owner / Manus coordination</t>
        </is>
      </c>
      <c r="J44" s="54" t="inlineStr">
        <is>
          <t>Layer 3, domain, application, presentation</t>
        </is>
      </c>
      <c r="K44" s="54" t="inlineStr">
        <is>
          <t>Domain/Service tests | DOM/Integration tests where UI is involved | Export/import or migration evidence where persistence changes | Merge and verification evidence on main</t>
        </is>
      </c>
      <c r="L44" s="54" t="inlineStr">
        <is>
          <t>OPS-004</t>
        </is>
      </c>
      <c r="M44" s="54" t="inlineStr"/>
      <c r="N44" s="54" t="inlineStr">
        <is>
          <t>أكمل الاعتماديات، ثم افتح Claim لتنفيذ ربحية بمعرف كتالوج ثابت واختبارات Snapshot/الفترات.</t>
        </is>
      </c>
      <c r="O44" s="54" t="inlineStr">
        <is>
          <t>تنفيذ مؤجل حتى اعتماد/إكمال الاعتماديات، لكنه متطلب Gate قبل Pilot؛ ربحية المنتجات/الخدمات بمعرف ثابت مطلوبة ضمن المرحلة 3.</t>
        </is>
      </c>
      <c r="P44" s="54" t="inlineStr">
        <is>
          <t>docs/operations/control/README.md</t>
        </is>
      </c>
      <c r="Q44" s="54" t="inlineStr">
        <is>
          <t>2026-09-19</t>
        </is>
      </c>
    </row>
    <row r="45">
      <c r="A45" s="54" t="inlineStr">
        <is>
          <t>FIN-008</t>
        </is>
      </c>
      <c r="B45" s="54" t="inlineStr">
        <is>
          <t>تحقق الإهلاك بعد مرور الزمن</t>
        </is>
      </c>
      <c r="C45" s="54" t="inlineStr">
        <is>
          <t>QUALITY</t>
        </is>
      </c>
      <c r="D45" s="54" t="inlineStr">
        <is>
          <t>DEFERRED</t>
        </is>
      </c>
      <c r="E45" s="54" t="inlineStr">
        <is>
          <t>FIX_BEFORE_PILOT</t>
        </is>
      </c>
      <c r="F45" s="54" t="inlineStr">
        <is>
          <t>DEPENDENCY_GATE_REQUIRED_BEFORE_PILOT</t>
        </is>
      </c>
      <c r="G45" s="54" t="inlineStr">
        <is>
          <t>P2</t>
        </is>
      </c>
      <c r="H45" s="54" t="inlineStr">
        <is>
          <t>stage-3</t>
        </is>
      </c>
      <c r="I45" s="54" t="inlineStr">
        <is>
          <t>Product owner / Manus coordination</t>
        </is>
      </c>
      <c r="J45" s="54" t="inlineStr">
        <is>
          <t>Layer 3, domain, application, presentation</t>
        </is>
      </c>
      <c r="K45" s="54" t="inlineStr">
        <is>
          <t>اختبار Domain/Service مع Clock قابل للحقن يثبت تاريخ الاستحقاق قبل/بعد نقطة زمنية اصطناعية | اختبار idempotency يمنع تسجيل الإهلاك نفسه مرتين عند إعادة تشغيل الساعة/الفعل | اختبار DOM يثبت أن الإهلاك غير النقدي لا يخصم من الكاش ويعرض الحالة الصادقة | اختبار export/import يحافظ على أصل الإهلاك وتاريخه إن دخلت البيانات الدائمة | دليل CI وMerge SHA وverified_on_main_sha قبل VERIFIED</t>
        </is>
      </c>
      <c r="L45" s="54" t="inlineStr"/>
      <c r="M45" s="54" t="inlineStr">
        <is>
          <t>تحديد نافذة اختبار الإهلاك أو آلية ساعة اختبار معتمدة قبل فتح Claim.</t>
        </is>
      </c>
      <c r="N45" s="54" t="inlineStr">
        <is>
          <t>صمّم/نفّذ اختبارًا باستخدام Clock قابل للحقن مع وقتين اصطناعيين على الأقل، ثم افتح Claim؛ لا تستخدم انتظارًا زمنيًا حقيقيًا.</t>
        </is>
      </c>
      <c r="O45" s="54" t="inlineStr">
        <is>
          <t>تنفيذ مؤجل حتى اعتماد/إكمال الاعتماديات، لكنه متطلب Gate قبل Pilot؛ اختبار الإهلاك يستخدم Clock قابلًا للحقن ولا ينتظر شهرًا حقيقيًا.</t>
        </is>
      </c>
      <c r="P45" s="54" t="inlineStr">
        <is>
          <t>docs/operations/control/README.md</t>
        </is>
      </c>
      <c r="Q45" s="54" t="inlineStr">
        <is>
          <t>2026-09-19</t>
        </is>
      </c>
    </row>
    <row r="46">
      <c r="A46" s="54" t="inlineStr">
        <is>
          <t>OPS-003</t>
        </is>
      </c>
      <c r="B46" s="54" t="inlineStr">
        <is>
          <t>المصروفات المتكررة المحلية</t>
        </is>
      </c>
      <c r="C46" s="54" t="inlineStr">
        <is>
          <t>FEATURE</t>
        </is>
      </c>
      <c r="D46" s="54" t="inlineStr">
        <is>
          <t>DEFERRED</t>
        </is>
      </c>
      <c r="E46" s="54" t="inlineStr">
        <is>
          <t>FIX_BEFORE_PILOT</t>
        </is>
      </c>
      <c r="F46" s="54" t="inlineStr">
        <is>
          <t>DEPENDENCY_GATE_REQUIRED_BEFORE_PILOT</t>
        </is>
      </c>
      <c r="G46" s="54" t="inlineStr">
        <is>
          <t>P2</t>
        </is>
      </c>
      <c r="H46" s="54" t="inlineStr">
        <is>
          <t>stage-2</t>
        </is>
      </c>
      <c r="I46" s="54" t="inlineStr">
        <is>
          <t>Product owner / Manus coordination</t>
        </is>
      </c>
      <c r="J46" s="54" t="inlineStr">
        <is>
          <t>Layer 2, application, presentation</t>
        </is>
      </c>
      <c r="K46" s="54" t="inlineStr">
        <is>
          <t>Domain/Service tests | DOM/Integration tests where UI is involved | Export/import or migration evidence where persistence changes | Merge and verification evidence on main</t>
        </is>
      </c>
      <c r="L46" s="54" t="inlineStr">
        <is>
          <t>CTRL-001</t>
        </is>
      </c>
      <c r="M46" s="54" t="inlineStr">
        <is>
          <t>اعتماد أن المصروف المتكرر تذكير يحتاج تأكيدًا ولا ينشئ حدثًا ماليًا تلقائيًا.</t>
        </is>
      </c>
      <c r="N46" s="54" t="inlineStr">
        <is>
          <t>أكمل الاعتماديات، ثم افتح Claim لتنفيذ تذكير متكرر يحتاج تأكيد المستخدم؛ لا يكتب حدثًا ماليًا تلقائيًا.</t>
        </is>
      </c>
      <c r="O46" s="54" t="inlineStr">
        <is>
          <t>تنفيذ مؤجل حتى اعتماد/إكمال الاعتماديات، لكنه متطلب Gate قبل Pilot؛ التذكير لا ينشئ حدثًا ماليًا تلقائيًا ويحتاج تأكيد المستخدم.</t>
        </is>
      </c>
      <c r="P46" s="54" t="inlineStr">
        <is>
          <t>docs/operations/control/README.md</t>
        </is>
      </c>
      <c r="Q46" s="54" t="inlineStr">
        <is>
          <t>2026-09-19</t>
        </is>
      </c>
    </row>
    <row r="47">
      <c r="A47" s="54" t="inlineStr">
        <is>
          <t>SCOPE-002</t>
        </is>
      </c>
      <c r="B47" s="54" t="inlineStr">
        <is>
          <t>الموارد وقدرة المواد والتوسع التشغيلي</t>
        </is>
      </c>
      <c r="C47" s="54" t="inlineStr">
        <is>
          <t>RESEARCH</t>
        </is>
      </c>
      <c r="D47" s="54" t="inlineStr">
        <is>
          <t>DEFERRED</t>
        </is>
      </c>
      <c r="E47" s="54" t="inlineStr">
        <is>
          <t>FUTURE_SCOPE</t>
        </is>
      </c>
      <c r="F47" s="54" t="inlineStr">
        <is>
          <t>OUT_OF_SCOPE</t>
        </is>
      </c>
      <c r="G47" s="54" t="inlineStr">
        <is>
          <t>P2</t>
        </is>
      </c>
      <c r="H47" s="54" t="inlineStr">
        <is>
          <t>future-scope</t>
        </is>
      </c>
      <c r="I47" s="54" t="inlineStr">
        <is>
          <t>Product owner / Manus coordination</t>
        </is>
      </c>
      <c r="J47" s="54" t="inlineStr">
        <is>
          <t>future-scope</t>
        </is>
      </c>
      <c r="K47" s="54" t="inlineStr">
        <is>
          <t>Source/report comparison | Explicit unknowns and limits | Owner decision or pilot evidence</t>
        </is>
      </c>
      <c r="L47" s="54" t="inlineStr"/>
      <c r="M47" s="54" t="inlineStr"/>
      <c r="N47" s="54" t="inlineStr">
        <is>
          <t>لا تبدأ؛ أعد الفتح فقط بعد دليل، عقد، وقرار مالك مستقل خارج نطاق Pilot الحالي.</t>
        </is>
      </c>
      <c r="O47" s="54" t="inlineStr">
        <is>
          <t>OUT_OF_SCOPE؛ لا يدخل PRE-PILOT ولا يتحول إلى Feature قبل نطاق وعقد وقرار مستقل.</t>
        </is>
      </c>
      <c r="P47" s="54" t="inlineStr">
        <is>
          <t>https://github.com/Qays7753/Documents/tree/main/reports/2026/2026-09-19/layered-financial-management-audit-001</t>
        </is>
      </c>
      <c r="Q47" s="54" t="inlineStr">
        <is>
          <t>2026-09-19</t>
        </is>
      </c>
    </row>
    <row r="48">
      <c r="A48" s="54" t="inlineStr">
        <is>
          <t>UX-002</t>
        </is>
      </c>
      <c r="B48" s="54" t="inlineStr">
        <is>
          <t>Backlog الموجة الرابعة في عقد الملكية</t>
        </is>
      </c>
      <c r="C48" s="54" t="inlineStr">
        <is>
          <t>QUALITY</t>
        </is>
      </c>
      <c r="D48" s="54" t="inlineStr">
        <is>
          <t>DEFERRED</t>
        </is>
      </c>
      <c r="E48" s="54" t="inlineStr">
        <is>
          <t>FUTURE_SCOPE</t>
        </is>
      </c>
      <c r="F48" s="54" t="inlineStr">
        <is>
          <t>OUT_OF_SCOPE</t>
        </is>
      </c>
      <c r="G48" s="54" t="inlineStr">
        <is>
          <t>P2</t>
        </is>
      </c>
      <c r="H48" s="54" t="inlineStr">
        <is>
          <t>post-pilot-gate</t>
        </is>
      </c>
      <c r="I48" s="54" t="inlineStr">
        <is>
          <t>Product owner / Manus coordination</t>
        </is>
      </c>
      <c r="J48" s="54" t="inlineStr">
        <is>
          <t>post-pilot</t>
        </is>
      </c>
      <c r="K48" s="54" t="inlineStr">
        <is>
          <t>Focused automated tests | Failure/recovery path where applicable | Evidence on main or explicit device limitation</t>
        </is>
      </c>
      <c r="L48" s="54" t="inlineStr"/>
      <c r="M48" s="54" t="inlineStr"/>
      <c r="N48" s="54" t="inlineStr">
        <is>
          <t>لا تبدأ؛ أعد الفتح فقط بعد دليل، عقد، وقرار مالك مستقل خارج نطاق Pilot الحالي.</t>
        </is>
      </c>
      <c r="O48" s="54" t="inlineStr">
        <is>
          <t>OUT_OF_SCOPE؛ لا يدخل PRE-PILOT ولا يتحول إلى Feature قبل نطاق وعقد وقرار مستقل.</t>
        </is>
      </c>
      <c r="P48" s="54" t="inlineStr">
        <is>
          <t>https://github.com/Qays7753/Documents/tree/main/reports/2026/2026-09-19/layered-financial-management-audit-001</t>
        </is>
      </c>
      <c r="Q48" s="54" t="inlineStr">
        <is>
          <t>2026-09-19</t>
        </is>
      </c>
    </row>
    <row r="49">
      <c r="A49" s="54" t="inlineStr">
        <is>
          <t>V-001</t>
        </is>
      </c>
      <c r="B49" s="54" t="inlineStr">
        <is>
          <t>V-01 — التقاط تواريخ استحقاق المشتريات</t>
        </is>
      </c>
      <c r="C49" s="54" t="inlineStr">
        <is>
          <t>RESEARCH</t>
        </is>
      </c>
      <c r="D49" s="54" t="inlineStr">
        <is>
          <t>DEFERRED</t>
        </is>
      </c>
      <c r="E49" s="54" t="inlineStr">
        <is>
          <t>PILOT_VALIDATION</t>
        </is>
      </c>
      <c r="F49" s="54" t="inlineStr">
        <is>
          <t>PILOT_EVIDENCE_REQUIRED</t>
        </is>
      </c>
      <c r="G49" s="54" t="inlineStr">
        <is>
          <t>P2</t>
        </is>
      </c>
      <c r="H49" s="54" t="inlineStr">
        <is>
          <t>pilot-validation</t>
        </is>
      </c>
      <c r="I49" s="54" t="inlineStr">
        <is>
          <t>Product owner / Manus coordination</t>
        </is>
      </c>
      <c r="J49" s="54" t="inlineStr">
        <is>
          <t>pilot-validation</t>
        </is>
      </c>
      <c r="K49" s="54" t="inlineStr">
        <is>
          <t>Pilot observation protocol | Evidence log with denominator and outcome | Owner decision before any Feature claim</t>
        </is>
      </c>
      <c r="L49" s="54" t="inlineStr"/>
      <c r="M49" s="54" t="inlineStr"/>
      <c r="N49" s="54" t="inlineStr">
        <is>
          <t>أضف السؤال إلى بروتوكول Pilot، ثم سجّل النتيجة والقرار قبل فتح أي تنفيذ.</t>
        </is>
      </c>
      <c r="O49" s="54" t="inlineStr">
        <is>
          <t>PILOT_EVIDENCE_REQUIRED؛ فرضية تحقق أثناء Pilot وليست Feature قبل دليل وقرار.</t>
        </is>
      </c>
      <c r="P49" s="54" t="inlineStr">
        <is>
          <t>https://github.com/Qays7753/Documents/tree/main/reports/2026/2026-09-19/layered-financial-management-audit-001</t>
        </is>
      </c>
      <c r="Q49" s="54" t="inlineStr">
        <is>
          <t>2026-09-19</t>
        </is>
      </c>
    </row>
    <row r="50">
      <c r="A50" s="54" t="inlineStr">
        <is>
          <t>V-002</t>
        </is>
      </c>
      <c r="B50" s="54" t="inlineStr">
        <is>
          <t>V-02 — متوقعات الكاش القصيرة</t>
        </is>
      </c>
      <c r="C50" s="54" t="inlineStr">
        <is>
          <t>RESEARCH</t>
        </is>
      </c>
      <c r="D50" s="54" t="inlineStr">
        <is>
          <t>DEFERRED</t>
        </is>
      </c>
      <c r="E50" s="54" t="inlineStr">
        <is>
          <t>PILOT_VALIDATION</t>
        </is>
      </c>
      <c r="F50" s="54" t="inlineStr">
        <is>
          <t>PILOT_EVIDENCE_REQUIRED</t>
        </is>
      </c>
      <c r="G50" s="54" t="inlineStr">
        <is>
          <t>P2</t>
        </is>
      </c>
      <c r="H50" s="54" t="inlineStr">
        <is>
          <t>pilot-validation</t>
        </is>
      </c>
      <c r="I50" s="54" t="inlineStr">
        <is>
          <t>Product owner / Manus coordination</t>
        </is>
      </c>
      <c r="J50" s="54" t="inlineStr">
        <is>
          <t>pilot-validation</t>
        </is>
      </c>
      <c r="K50" s="54" t="inlineStr">
        <is>
          <t>Pilot observation protocol | Evidence log with denominator and outcome | Owner decision before any Feature claim</t>
        </is>
      </c>
      <c r="L50" s="54" t="inlineStr"/>
      <c r="M50" s="54" t="inlineStr"/>
      <c r="N50" s="54" t="inlineStr">
        <is>
          <t>أضف السؤال إلى بروتوكول Pilot، ثم سجّل النتيجة والقرار قبل فتح أي تنفيذ.</t>
        </is>
      </c>
      <c r="O50" s="54" t="inlineStr">
        <is>
          <t>PILOT_EVIDENCE_REQUIRED؛ فرضية تحقق أثناء Pilot وليست Feature قبل دليل وقرار.</t>
        </is>
      </c>
      <c r="P50" s="54" t="inlineStr">
        <is>
          <t>https://github.com/Qays7753/Documents/tree/main/reports/2026/2026-09-19/layered-financial-management-audit-001</t>
        </is>
      </c>
      <c r="Q50" s="54" t="inlineStr">
        <is>
          <t>2026-09-19</t>
        </is>
      </c>
    </row>
    <row r="51">
      <c r="A51" s="54" t="inlineStr">
        <is>
          <t>V-003</t>
        </is>
      </c>
      <c r="B51" s="54" t="inlineStr">
        <is>
          <t>V-03 — أجندة القادم المجمعة بالتاريخ</t>
        </is>
      </c>
      <c r="C51" s="54" t="inlineStr">
        <is>
          <t>RESEARCH</t>
        </is>
      </c>
      <c r="D51" s="54" t="inlineStr">
        <is>
          <t>DEFERRED</t>
        </is>
      </c>
      <c r="E51" s="54" t="inlineStr">
        <is>
          <t>PILOT_VALIDATION</t>
        </is>
      </c>
      <c r="F51" s="54" t="inlineStr">
        <is>
          <t>PILOT_EVIDENCE_REQUIRED</t>
        </is>
      </c>
      <c r="G51" s="54" t="inlineStr">
        <is>
          <t>P2</t>
        </is>
      </c>
      <c r="H51" s="54" t="inlineStr">
        <is>
          <t>pilot-validation</t>
        </is>
      </c>
      <c r="I51" s="54" t="inlineStr">
        <is>
          <t>Product owner / Manus coordination</t>
        </is>
      </c>
      <c r="J51" s="54" t="inlineStr">
        <is>
          <t>pilot-validation</t>
        </is>
      </c>
      <c r="K51" s="54" t="inlineStr">
        <is>
          <t>Pilot observation protocol | Evidence log with denominator and outcome | Owner decision before any Feature claim</t>
        </is>
      </c>
      <c r="L51" s="54" t="inlineStr"/>
      <c r="M51" s="54" t="inlineStr"/>
      <c r="N51" s="54" t="inlineStr">
        <is>
          <t>أضف السؤال إلى بروتوكول Pilot، ثم سجّل النتيجة والقرار قبل فتح أي تنفيذ.</t>
        </is>
      </c>
      <c r="O51" s="54" t="inlineStr">
        <is>
          <t>PILOT_EVIDENCE_REQUIRED؛ فرضية تحقق أثناء Pilot وليست Feature قبل دليل وقرار.</t>
        </is>
      </c>
      <c r="P51" s="54" t="inlineStr">
        <is>
          <t>https://github.com/Qays7753/Documents/tree/main/reports/2026/2026-09-19/layered-financial-management-audit-001</t>
        </is>
      </c>
      <c r="Q51" s="54" t="inlineStr">
        <is>
          <t>2026-09-19</t>
        </is>
      </c>
    </row>
    <row r="52">
      <c r="A52" s="54" t="inlineStr">
        <is>
          <t>V-004</t>
        </is>
      </c>
      <c r="B52" s="54" t="inlineStr">
        <is>
          <t>V-04 — عرض التغطية عند قرار السحب</t>
        </is>
      </c>
      <c r="C52" s="54" t="inlineStr">
        <is>
          <t>RESEARCH</t>
        </is>
      </c>
      <c r="D52" s="54" t="inlineStr">
        <is>
          <t>DEFERRED</t>
        </is>
      </c>
      <c r="E52" s="54" t="inlineStr">
        <is>
          <t>PILOT_VALIDATION</t>
        </is>
      </c>
      <c r="F52" s="54" t="inlineStr">
        <is>
          <t>PILOT_EVIDENCE_REQUIRED</t>
        </is>
      </c>
      <c r="G52" s="54" t="inlineStr">
        <is>
          <t>P2</t>
        </is>
      </c>
      <c r="H52" s="54" t="inlineStr">
        <is>
          <t>pilot-validation</t>
        </is>
      </c>
      <c r="I52" s="54" t="inlineStr">
        <is>
          <t>Product owner / Manus coordination</t>
        </is>
      </c>
      <c r="J52" s="54" t="inlineStr">
        <is>
          <t>pilot-validation</t>
        </is>
      </c>
      <c r="K52" s="54" t="inlineStr">
        <is>
          <t>Pilot observation protocol | Evidence log with denominator and outcome | Owner decision before any Feature claim</t>
        </is>
      </c>
      <c r="L52" s="54" t="inlineStr"/>
      <c r="M52" s="54" t="inlineStr"/>
      <c r="N52" s="54" t="inlineStr">
        <is>
          <t>أضف السؤال إلى بروتوكول Pilot، ثم سجّل النتيجة والقرار قبل فتح أي تنفيذ.</t>
        </is>
      </c>
      <c r="O52" s="54" t="inlineStr">
        <is>
          <t>PILOT_EVIDENCE_REQUIRED؛ فرضية تحقق أثناء Pilot وليست Feature قبل دليل وقرار.</t>
        </is>
      </c>
      <c r="P52" s="54" t="inlineStr">
        <is>
          <t>https://github.com/Qays7753/Documents/tree/main/reports/2026/2026-09-19/layered-financial-management-audit-001</t>
        </is>
      </c>
      <c r="Q52" s="54" t="inlineStr">
        <is>
          <t>2026-09-19</t>
        </is>
      </c>
    </row>
    <row r="53">
      <c r="A53" s="54" t="inlineStr">
        <is>
          <t>V-005</t>
        </is>
      </c>
      <c r="B53" s="54" t="inlineStr">
        <is>
          <t>V-05 — مقارنة فترتين بسيطة</t>
        </is>
      </c>
      <c r="C53" s="54" t="inlineStr">
        <is>
          <t>RESEARCH</t>
        </is>
      </c>
      <c r="D53" s="54" t="inlineStr">
        <is>
          <t>DEFERRED</t>
        </is>
      </c>
      <c r="E53" s="54" t="inlineStr">
        <is>
          <t>PILOT_VALIDATION</t>
        </is>
      </c>
      <c r="F53" s="54" t="inlineStr">
        <is>
          <t>PILOT_EVIDENCE_REQUIRED</t>
        </is>
      </c>
      <c r="G53" s="54" t="inlineStr">
        <is>
          <t>P2</t>
        </is>
      </c>
      <c r="H53" s="54" t="inlineStr">
        <is>
          <t>pilot-validation</t>
        </is>
      </c>
      <c r="I53" s="54" t="inlineStr">
        <is>
          <t>Product owner / Manus coordination</t>
        </is>
      </c>
      <c r="J53" s="54" t="inlineStr">
        <is>
          <t>pilot-validation</t>
        </is>
      </c>
      <c r="K53" s="54" t="inlineStr">
        <is>
          <t>Pilot observation protocol | Evidence log with denominator and outcome | Owner decision before any Feature claim</t>
        </is>
      </c>
      <c r="L53" s="54" t="inlineStr"/>
      <c r="M53" s="54" t="inlineStr"/>
      <c r="N53" s="54" t="inlineStr">
        <is>
          <t>أضف السؤال إلى بروتوكول Pilot، ثم سجّل النتيجة والقرار قبل فتح أي تنفيذ.</t>
        </is>
      </c>
      <c r="O53" s="54" t="inlineStr">
        <is>
          <t>PILOT_EVIDENCE_REQUIRED؛ فرضية تحقق أثناء Pilot وليست Feature قبل دليل وقرار.</t>
        </is>
      </c>
      <c r="P53" s="54" t="inlineStr">
        <is>
          <t>https://github.com/Qays7753/Documents/tree/main/reports/2026/2026-09-19/layered-financial-management-audit-001</t>
        </is>
      </c>
      <c r="Q53" s="54" t="inlineStr">
        <is>
          <t>2026-09-19</t>
        </is>
      </c>
    </row>
    <row r="54">
      <c r="A54" s="54" t="inlineStr">
        <is>
          <t>V-006</t>
        </is>
      </c>
      <c r="B54" s="54" t="inlineStr">
        <is>
          <t>V-06 — جسر ربح إلى كاش رقمي</t>
        </is>
      </c>
      <c r="C54" s="54" t="inlineStr">
        <is>
          <t>RESEARCH</t>
        </is>
      </c>
      <c r="D54" s="54" t="inlineStr">
        <is>
          <t>DEFERRED</t>
        </is>
      </c>
      <c r="E54" s="54" t="inlineStr">
        <is>
          <t>PILOT_VALIDATION</t>
        </is>
      </c>
      <c r="F54" s="54" t="inlineStr">
        <is>
          <t>PILOT_EVIDENCE_REQUIRED</t>
        </is>
      </c>
      <c r="G54" s="54" t="inlineStr">
        <is>
          <t>P2</t>
        </is>
      </c>
      <c r="H54" s="54" t="inlineStr">
        <is>
          <t>pilot-validation</t>
        </is>
      </c>
      <c r="I54" s="54" t="inlineStr">
        <is>
          <t>Product owner / Manus coordination</t>
        </is>
      </c>
      <c r="J54" s="54" t="inlineStr">
        <is>
          <t>pilot-validation</t>
        </is>
      </c>
      <c r="K54" s="54" t="inlineStr">
        <is>
          <t>Pilot observation protocol | Evidence log with denominator and outcome | Owner decision before any Feature claim</t>
        </is>
      </c>
      <c r="L54" s="54" t="inlineStr"/>
      <c r="M54" s="54" t="inlineStr"/>
      <c r="N54" s="54" t="inlineStr">
        <is>
          <t>أضف السؤال إلى بروتوكول Pilot، ثم سجّل النتيجة والقرار قبل فتح أي تنفيذ.</t>
        </is>
      </c>
      <c r="O54" s="54" t="inlineStr">
        <is>
          <t>PILOT_EVIDENCE_REQUIRED؛ فرضية تحقق أثناء Pilot وليست Feature قبل دليل وقرار.</t>
        </is>
      </c>
      <c r="P54" s="54" t="inlineStr">
        <is>
          <t>https://github.com/Qays7753/Documents/tree/main/reports/2026/2026-09-19/layered-financial-management-audit-001</t>
        </is>
      </c>
      <c r="Q54" s="54" t="inlineStr">
        <is>
          <t>2026-09-19</t>
        </is>
      </c>
    </row>
    <row r="55">
      <c r="A55" s="54" t="inlineStr">
        <is>
          <t>V-007</t>
        </is>
      </c>
      <c r="B55" s="54" t="inlineStr">
        <is>
          <t>V-07 — تنبيه انخفاض المواد</t>
        </is>
      </c>
      <c r="C55" s="54" t="inlineStr">
        <is>
          <t>RESEARCH</t>
        </is>
      </c>
      <c r="D55" s="54" t="inlineStr">
        <is>
          <t>DEFERRED</t>
        </is>
      </c>
      <c r="E55" s="54" t="inlineStr">
        <is>
          <t>PILOT_VALIDATION</t>
        </is>
      </c>
      <c r="F55" s="54" t="inlineStr">
        <is>
          <t>PILOT_EVIDENCE_REQUIRED</t>
        </is>
      </c>
      <c r="G55" s="54" t="inlineStr">
        <is>
          <t>P2</t>
        </is>
      </c>
      <c r="H55" s="54" t="inlineStr">
        <is>
          <t>pilot-validation</t>
        </is>
      </c>
      <c r="I55" s="54" t="inlineStr">
        <is>
          <t>Product owner / Manus coordination</t>
        </is>
      </c>
      <c r="J55" s="54" t="inlineStr">
        <is>
          <t>pilot-validation</t>
        </is>
      </c>
      <c r="K55" s="54" t="inlineStr">
        <is>
          <t>Pilot observation protocol | Evidence log with denominator and outcome | Owner decision before any Feature claim</t>
        </is>
      </c>
      <c r="L55" s="54" t="inlineStr"/>
      <c r="M55" s="54" t="inlineStr"/>
      <c r="N55" s="54" t="inlineStr">
        <is>
          <t>أضف السؤال إلى بروتوكول Pilot، ثم سجّل النتيجة والقرار قبل فتح أي تنفيذ.</t>
        </is>
      </c>
      <c r="O55" s="54" t="inlineStr">
        <is>
          <t>PILOT_EVIDENCE_REQUIRED؛ فرضية تحقق أثناء Pilot وليست Feature قبل دليل وقرار.</t>
        </is>
      </c>
      <c r="P55" s="54" t="inlineStr">
        <is>
          <t>https://github.com/Qays7753/Documents/tree/main/reports/2026/2026-09-19/layered-financial-management-audit-001</t>
        </is>
      </c>
      <c r="Q55" s="54" t="inlineStr">
        <is>
          <t>2026-09-19</t>
        </is>
      </c>
    </row>
    <row r="56">
      <c r="A56" s="54" t="inlineStr">
        <is>
          <t>V-008</t>
        </is>
      </c>
      <c r="B56" s="54" t="inlineStr">
        <is>
          <t>V-08 — مصروف اليوم على الرئيسية</t>
        </is>
      </c>
      <c r="C56" s="54" t="inlineStr">
        <is>
          <t>RESEARCH</t>
        </is>
      </c>
      <c r="D56" s="54" t="inlineStr">
        <is>
          <t>DEFERRED</t>
        </is>
      </c>
      <c r="E56" s="54" t="inlineStr">
        <is>
          <t>PILOT_VALIDATION</t>
        </is>
      </c>
      <c r="F56" s="54" t="inlineStr">
        <is>
          <t>PILOT_EVIDENCE_REQUIRED</t>
        </is>
      </c>
      <c r="G56" s="54" t="inlineStr">
        <is>
          <t>P2</t>
        </is>
      </c>
      <c r="H56" s="54" t="inlineStr">
        <is>
          <t>pilot-validation</t>
        </is>
      </c>
      <c r="I56" s="54" t="inlineStr">
        <is>
          <t>Product owner / Manus coordination</t>
        </is>
      </c>
      <c r="J56" s="54" t="inlineStr">
        <is>
          <t>pilot-validation</t>
        </is>
      </c>
      <c r="K56" s="54" t="inlineStr">
        <is>
          <t>Pilot observation protocol | Evidence log with denominator and outcome | Owner decision before any Feature claim</t>
        </is>
      </c>
      <c r="L56" s="54" t="inlineStr"/>
      <c r="M56" s="54" t="inlineStr"/>
      <c r="N56" s="54" t="inlineStr">
        <is>
          <t>أضف السؤال إلى بروتوكول Pilot، ثم سجّل النتيجة والقرار قبل فتح أي تنفيذ.</t>
        </is>
      </c>
      <c r="O56" s="54" t="inlineStr">
        <is>
          <t>PILOT_EVIDENCE_REQUIRED؛ فرضية تحقق أثناء Pilot وليست Feature قبل دليل وقرار.</t>
        </is>
      </c>
      <c r="P56" s="54" t="inlineStr">
        <is>
          <t>https://github.com/Qays7753/Documents/tree/main/reports/2026/2026-09-19/layered-financial-management-audit-001</t>
        </is>
      </c>
      <c r="Q56" s="54" t="inlineStr">
        <is>
          <t>2026-09-19</t>
        </is>
      </c>
    </row>
    <row r="57">
      <c r="A57" s="54" t="inlineStr">
        <is>
          <t>V-009</t>
        </is>
      </c>
      <c r="B57" s="54" t="inlineStr">
        <is>
          <t>V-09 — رقم السحب الآمن الموحد</t>
        </is>
      </c>
      <c r="C57" s="54" t="inlineStr">
        <is>
          <t>RESEARCH</t>
        </is>
      </c>
      <c r="D57" s="54" t="inlineStr">
        <is>
          <t>DEFERRED</t>
        </is>
      </c>
      <c r="E57" s="54" t="inlineStr">
        <is>
          <t>PILOT_VALIDATION</t>
        </is>
      </c>
      <c r="F57" s="54" t="inlineStr">
        <is>
          <t>PILOT_EVIDENCE_REQUIRED</t>
        </is>
      </c>
      <c r="G57" s="54" t="inlineStr">
        <is>
          <t>P2</t>
        </is>
      </c>
      <c r="H57" s="54" t="inlineStr">
        <is>
          <t>pilot-validation</t>
        </is>
      </c>
      <c r="I57" s="54" t="inlineStr">
        <is>
          <t>Product owner / Manus coordination</t>
        </is>
      </c>
      <c r="J57" s="54" t="inlineStr">
        <is>
          <t>pilot-validation</t>
        </is>
      </c>
      <c r="K57" s="54" t="inlineStr">
        <is>
          <t>Pilot observation protocol | Evidence log with denominator and outcome | Owner decision before any Feature claim</t>
        </is>
      </c>
      <c r="L57" s="54" t="inlineStr"/>
      <c r="M57" s="54" t="inlineStr"/>
      <c r="N57" s="54" t="inlineStr">
        <is>
          <t>أضف السؤال إلى بروتوكول Pilot، ثم سجّل النتيجة والقرار قبل فتح أي تنفيذ.</t>
        </is>
      </c>
      <c r="O57" s="54" t="inlineStr">
        <is>
          <t>PILOT_EVIDENCE_REQUIRED؛ فرضية تحقق أثناء Pilot وليست Feature قبل دليل وقرار.</t>
        </is>
      </c>
      <c r="P57" s="54" t="inlineStr">
        <is>
          <t>https://github.com/Qays7753/Documents/tree/main/reports/2026/2026-09-19/layered-financial-management-audit-001</t>
        </is>
      </c>
      <c r="Q57" s="54" t="inlineStr">
        <is>
          <t>2026-09-19</t>
        </is>
      </c>
    </row>
    <row r="58">
      <c r="A58" s="54" t="inlineStr">
        <is>
          <t>V-010</t>
        </is>
      </c>
      <c r="B58" s="54" t="inlineStr">
        <is>
          <t>V-10 — كثافة صفحة المالية</t>
        </is>
      </c>
      <c r="C58" s="54" t="inlineStr">
        <is>
          <t>RESEARCH</t>
        </is>
      </c>
      <c r="D58" s="54" t="inlineStr">
        <is>
          <t>DEFERRED</t>
        </is>
      </c>
      <c r="E58" s="54" t="inlineStr">
        <is>
          <t>PILOT_VALIDATION</t>
        </is>
      </c>
      <c r="F58" s="54" t="inlineStr">
        <is>
          <t>PILOT_EVIDENCE_REQUIRED</t>
        </is>
      </c>
      <c r="G58" s="54" t="inlineStr">
        <is>
          <t>P2</t>
        </is>
      </c>
      <c r="H58" s="54" t="inlineStr">
        <is>
          <t>pilot-validation</t>
        </is>
      </c>
      <c r="I58" s="54" t="inlineStr">
        <is>
          <t>Product owner / Manus coordination</t>
        </is>
      </c>
      <c r="J58" s="54" t="inlineStr">
        <is>
          <t>pilot-validation</t>
        </is>
      </c>
      <c r="K58" s="54" t="inlineStr">
        <is>
          <t>Pilot observation protocol | Evidence log with denominator and outcome | Owner decision before any Feature claim</t>
        </is>
      </c>
      <c r="L58" s="54" t="inlineStr"/>
      <c r="M58" s="54" t="inlineStr"/>
      <c r="N58" s="54" t="inlineStr">
        <is>
          <t>أضف السؤال إلى بروتوكول Pilot، ثم سجّل النتيجة والقرار قبل فتح أي تنفيذ.</t>
        </is>
      </c>
      <c r="O58" s="54" t="inlineStr">
        <is>
          <t>PILOT_EVIDENCE_REQUIRED؛ فرضية تحقق أثناء Pilot وليست Feature قبل دليل وقرار.</t>
        </is>
      </c>
      <c r="P58" s="54" t="inlineStr">
        <is>
          <t>https://github.com/Qays7753/Documents/tree/main/reports/2026/2026-09-19/layered-financial-management-audit-001</t>
        </is>
      </c>
      <c r="Q58" s="54" t="inlineStr">
        <is>
          <t>2026-09-19</t>
        </is>
      </c>
    </row>
    <row r="59">
      <c r="A59" s="54" t="inlineStr">
        <is>
          <t>V-011</t>
        </is>
      </c>
      <c r="B59" s="54" t="inlineStr">
        <is>
          <t>V-11 — فهم نموذج التوزيع الصريح للكاش</t>
        </is>
      </c>
      <c r="C59" s="54" t="inlineStr">
        <is>
          <t>RESEARCH</t>
        </is>
      </c>
      <c r="D59" s="54" t="inlineStr">
        <is>
          <t>DEFERRED</t>
        </is>
      </c>
      <c r="E59" s="54" t="inlineStr">
        <is>
          <t>PILOT_VALIDATION</t>
        </is>
      </c>
      <c r="F59" s="54" t="inlineStr">
        <is>
          <t>PILOT_EVIDENCE_REQUIRED</t>
        </is>
      </c>
      <c r="G59" s="54" t="inlineStr">
        <is>
          <t>P2</t>
        </is>
      </c>
      <c r="H59" s="54" t="inlineStr">
        <is>
          <t>pilot-validation</t>
        </is>
      </c>
      <c r="I59" s="54" t="inlineStr">
        <is>
          <t>Product owner / Manus coordination</t>
        </is>
      </c>
      <c r="J59" s="54" t="inlineStr">
        <is>
          <t>pilot-validation</t>
        </is>
      </c>
      <c r="K59" s="54" t="inlineStr">
        <is>
          <t>Pilot observation protocol | Evidence log with denominator and outcome | Owner decision before any Feature claim</t>
        </is>
      </c>
      <c r="L59" s="54" t="inlineStr"/>
      <c r="M59" s="54" t="inlineStr"/>
      <c r="N59" s="54" t="inlineStr">
        <is>
          <t>أضف السؤال إلى بروتوكول Pilot، ثم سجّل النتيجة والقرار قبل فتح أي تنفيذ.</t>
        </is>
      </c>
      <c r="O59" s="54" t="inlineStr">
        <is>
          <t>PILOT_EVIDENCE_REQUIRED؛ فرضية تحقق أثناء Pilot وليست Feature قبل دليل وقرار.</t>
        </is>
      </c>
      <c r="P59" s="54" t="inlineStr">
        <is>
          <t>https://github.com/Qays7753/Documents/tree/main/reports/2026/2026-09-19/layered-financial-management-audit-001</t>
        </is>
      </c>
      <c r="Q59" s="54" t="inlineStr">
        <is>
          <t>2026-09-19</t>
        </is>
      </c>
    </row>
    <row r="60">
      <c r="A60" s="54" t="inlineStr">
        <is>
          <t>V-012</t>
        </is>
      </c>
      <c r="B60" s="54" t="inlineStr">
        <is>
          <t>V-12 — تسجيل الإهلاك بعد شهر استخدام</t>
        </is>
      </c>
      <c r="C60" s="54" t="inlineStr">
        <is>
          <t>RESEARCH</t>
        </is>
      </c>
      <c r="D60" s="54" t="inlineStr">
        <is>
          <t>DEFERRED</t>
        </is>
      </c>
      <c r="E60" s="54" t="inlineStr">
        <is>
          <t>PILOT_VALIDATION</t>
        </is>
      </c>
      <c r="F60" s="54" t="inlineStr">
        <is>
          <t>PILOT_EVIDENCE_REQUIRED</t>
        </is>
      </c>
      <c r="G60" s="54" t="inlineStr">
        <is>
          <t>P2</t>
        </is>
      </c>
      <c r="H60" s="54" t="inlineStr">
        <is>
          <t>pilot-validation</t>
        </is>
      </c>
      <c r="I60" s="54" t="inlineStr">
        <is>
          <t>Product owner / Manus coordination</t>
        </is>
      </c>
      <c r="J60" s="54" t="inlineStr">
        <is>
          <t>pilot-validation</t>
        </is>
      </c>
      <c r="K60" s="54" t="inlineStr">
        <is>
          <t>Pilot observation protocol | Evidence log with denominator and outcome | Owner decision before any Feature claim</t>
        </is>
      </c>
      <c r="L60" s="54" t="inlineStr"/>
      <c r="M60" s="54" t="inlineStr"/>
      <c r="N60" s="54" t="inlineStr">
        <is>
          <t>أضف السؤال إلى بروتوكول Pilot، ثم سجّل النتيجة والقرار قبل فتح أي تنفيذ.</t>
        </is>
      </c>
      <c r="O60" s="54" t="inlineStr">
        <is>
          <t>PILOT_EVIDENCE_REQUIRED؛ فرضية تحقق أثناء Pilot وليست Feature قبل دليل وقرار.</t>
        </is>
      </c>
      <c r="P60" s="54" t="inlineStr">
        <is>
          <t>https://github.com/Qays7753/Documents/tree/main/reports/2026/2026-09-19/layered-financial-management-audit-001</t>
        </is>
      </c>
      <c r="Q60" s="54" t="inlineStr">
        <is>
          <t>2026-09-19</t>
        </is>
      </c>
    </row>
    <row r="61">
      <c r="A61" s="54" t="inlineStr">
        <is>
          <t>CTRL-001</t>
        </is>
      </c>
      <c r="B61" s="54" t="inlineStr">
        <is>
          <t>اعتماد Operations Control v2</t>
        </is>
      </c>
      <c r="C61" s="54" t="inlineStr">
        <is>
          <t>GOVERNANCE</t>
        </is>
      </c>
      <c r="D61" s="54" t="inlineStr">
        <is>
          <t>VERIFIED</t>
        </is>
      </c>
      <c r="E61" s="54" t="inlineStr">
        <is>
          <t>GOVERNANCE</t>
        </is>
      </c>
      <c r="F61" s="54" t="inlineStr">
        <is>
          <t>NOT_APPLICABLE</t>
        </is>
      </c>
      <c r="G61" s="54" t="inlineStr">
        <is>
          <t>P1</t>
        </is>
      </c>
      <c r="H61" s="54" t="inlineStr">
        <is>
          <t>stage-0</t>
        </is>
      </c>
      <c r="I61" s="54" t="inlineStr">
        <is>
          <t>Product owner / Manus coordination</t>
        </is>
      </c>
      <c r="J61" s="54" t="inlineStr">
        <is>
          <t>governance, documentation</t>
        </is>
      </c>
      <c r="K61" s="54" t="inlineStr">
        <is>
          <t>Validator/schema test | Generated-view freshness check | Owner review evidence</t>
        </is>
      </c>
      <c r="L61" s="54" t="inlineStr"/>
      <c r="M61" s="54" t="inlineStr">
        <is>
          <t>تم اعتماد الإغلاق بعد دمج PR #188 والتحقق من main؛ لا يفتح Claim كودي بهذا السجل.</t>
        </is>
      </c>
      <c r="N61" s="54" t="inlineStr">
        <is>
          <t>لا إجراء؛ سجل Operations Control v2 مدموج ومثبت على main. التنفيذ التالي يبدأ من G-001..G-006 في Claim مستقل.</t>
        </is>
      </c>
      <c r="O61" s="54" t="inlineStr"/>
      <c r="P61" s="54" t="inlineStr">
        <is>
          <t>docs/operations/control/README.md</t>
        </is>
      </c>
      <c r="Q61" s="54" t="inlineStr">
        <is>
          <t>2026-09-19</t>
        </is>
      </c>
    </row>
    <row r="62">
      <c r="A62" s="54" t="inlineStr">
        <is>
          <t>CTRL-002</t>
        </is>
      </c>
      <c r="B62" s="54" t="inlineStr">
        <is>
          <t>مصالحة القدرات والتقارير ومصادر الحقيقة</t>
        </is>
      </c>
      <c r="C62" s="54" t="inlineStr">
        <is>
          <t>GOVERNANCE</t>
        </is>
      </c>
      <c r="D62" s="54" t="inlineStr">
        <is>
          <t>VERIFIED</t>
        </is>
      </c>
      <c r="E62" s="54" t="inlineStr">
        <is>
          <t>GOVERNANCE</t>
        </is>
      </c>
      <c r="F62" s="54" t="inlineStr">
        <is>
          <t>EVIDENCE_RECONCILIATION_REQUIRED</t>
        </is>
      </c>
      <c r="G62" s="54" t="inlineStr">
        <is>
          <t>P1</t>
        </is>
      </c>
      <c r="H62" s="54" t="inlineStr">
        <is>
          <t>stage-0</t>
        </is>
      </c>
      <c r="I62" s="54" t="inlineStr">
        <is>
          <t>Product owner / Manus coordination</t>
        </is>
      </c>
      <c r="J62" s="54" t="inlineStr">
        <is>
          <t>governance, documentation</t>
        </is>
      </c>
      <c r="K62" s="54" t="inlineStr">
        <is>
          <t>Validator/schema test | Generated-view freshness check | Owner review evidence</t>
        </is>
      </c>
      <c r="L62" s="54" t="inlineStr"/>
      <c r="M62" s="54" t="inlineStr">
        <is>
          <t>تم اعتماد الإغلاق بعد دمج PR #188 والتحقق من main؛ لا يفتح Claim كودي بهذا السجل.</t>
        </is>
      </c>
      <c r="N62" s="54" t="inlineStr">
        <is>
          <t>لا إجراء؛ المصالحة والبوابات مدموجة ومثبتة. لا تبدأ معالجة 49/46 أو Claim كودي جديد دون دليل جديد.</t>
        </is>
      </c>
      <c r="O62" s="54" t="inlineStr"/>
      <c r="P62" s="54" t="inlineStr">
        <is>
          <t>docs/operations/control/README.md</t>
        </is>
      </c>
      <c r="Q62" s="54" t="inlineStr">
        <is>
          <t>2026-09-19</t>
        </is>
      </c>
    </row>
    <row r="63">
      <c r="A63" s="54" t="inlineStr">
        <is>
          <t>HARD-009</t>
        </is>
      </c>
      <c r="B63" s="54" t="inlineStr">
        <is>
          <t>إثبات إغلاق مجموعة المعالجة 9</t>
        </is>
      </c>
      <c r="C63" s="54" t="inlineStr">
        <is>
          <t>QUALITY</t>
        </is>
      </c>
      <c r="D63" s="54" t="inlineStr">
        <is>
          <t>VERIFIED</t>
        </is>
      </c>
      <c r="E63" s="54" t="inlineStr">
        <is>
          <t>HARDENING</t>
        </is>
      </c>
      <c r="F63" s="54" t="inlineStr">
        <is>
          <t>MAIN_VERIFIED</t>
        </is>
      </c>
      <c r="G63" s="54" t="inlineStr">
        <is>
          <t>P1</t>
        </is>
      </c>
      <c r="H63" s="54" t="inlineStr">
        <is>
          <t>hardening-verification</t>
        </is>
      </c>
      <c r="I63" s="54" t="inlineStr">
        <is>
          <t>Product owner / Manus coordination</t>
        </is>
      </c>
      <c r="J63" s="54" t="inlineStr">
        <is>
          <t>governance, verification</t>
        </is>
      </c>
      <c r="K63" s="54" t="inlineStr">
        <is>
          <t>Focused automated tests | Failure/recovery path where applicable | Evidence on main or explicit device limitation</t>
        </is>
      </c>
      <c r="L63" s="54" t="inlineStr"/>
      <c r="M63" s="54" t="inlineStr"/>
      <c r="N63" s="54" t="inlineStr">
        <is>
          <t>لا إجراء؛ التنفيذ موثق ومثبت في main. أعد الفتح فقط بدليل جديد.</t>
        </is>
      </c>
      <c r="O63" s="54" t="inlineStr"/>
      <c r="P63" s="54" t="inlineStr">
        <is>
          <t>https://github.com/Qays7753/Documents/tree/main/reports/2026/2026-09-19/layered-financial-management-audit-001</t>
        </is>
      </c>
      <c r="Q63" s="54" t="inlineStr">
        <is>
          <t>2026-09-19</t>
        </is>
      </c>
    </row>
    <row r="64">
      <c r="A64" s="54" t="inlineStr">
        <is>
          <t>HARD-010</t>
        </is>
      </c>
      <c r="B64" s="54" t="inlineStr">
        <is>
          <t>إثبات إغلاق مجموعة المعالجة 10</t>
        </is>
      </c>
      <c r="C64" s="54" t="inlineStr">
        <is>
          <t>QUALITY</t>
        </is>
      </c>
      <c r="D64" s="54" t="inlineStr">
        <is>
          <t>VERIFIED</t>
        </is>
      </c>
      <c r="E64" s="54" t="inlineStr">
        <is>
          <t>HARDENING</t>
        </is>
      </c>
      <c r="F64" s="54" t="inlineStr">
        <is>
          <t>MAIN_VERIFIED</t>
        </is>
      </c>
      <c r="G64" s="54" t="inlineStr">
        <is>
          <t>P1</t>
        </is>
      </c>
      <c r="H64" s="54" t="inlineStr">
        <is>
          <t>hardening-verification</t>
        </is>
      </c>
      <c r="I64" s="54" t="inlineStr">
        <is>
          <t>Product owner / Manus coordination</t>
        </is>
      </c>
      <c r="J64" s="54" t="inlineStr">
        <is>
          <t>governance, verification</t>
        </is>
      </c>
      <c r="K64" s="54" t="inlineStr">
        <is>
          <t>Focused automated tests | Failure/recovery path where applicable | Evidence on main or explicit device limitation</t>
        </is>
      </c>
      <c r="L64" s="54" t="inlineStr"/>
      <c r="M64" s="54" t="inlineStr"/>
      <c r="N64" s="54" t="inlineStr">
        <is>
          <t>لا إجراء؛ التنفيذ موثق ومثبت في main. أعد الفتح فقط بدليل جديد.</t>
        </is>
      </c>
      <c r="O64" s="54" t="inlineStr"/>
      <c r="P64" s="54" t="inlineStr">
        <is>
          <t>https://github.com/Qays7753/Documents/tree/main/reports/2026/2026-09-19/layered-financial-management-audit-001</t>
        </is>
      </c>
      <c r="Q64" s="54" t="inlineStr">
        <is>
          <t>2026-09-19</t>
        </is>
      </c>
    </row>
    <row r="65">
      <c r="A65" s="54" t="inlineStr">
        <is>
          <t>HARD-011</t>
        </is>
      </c>
      <c r="B65" s="54" t="inlineStr">
        <is>
          <t>إثبات إغلاق مجموعة المعالجة 11</t>
        </is>
      </c>
      <c r="C65" s="54" t="inlineStr">
        <is>
          <t>QUALITY</t>
        </is>
      </c>
      <c r="D65" s="54" t="inlineStr">
        <is>
          <t>VERIFIED</t>
        </is>
      </c>
      <c r="E65" s="54" t="inlineStr">
        <is>
          <t>HARDENING</t>
        </is>
      </c>
      <c r="F65" s="54" t="inlineStr">
        <is>
          <t>MAIN_VERIFIED</t>
        </is>
      </c>
      <c r="G65" s="54" t="inlineStr">
        <is>
          <t>P1</t>
        </is>
      </c>
      <c r="H65" s="54" t="inlineStr">
        <is>
          <t>hardening-verification</t>
        </is>
      </c>
      <c r="I65" s="54" t="inlineStr">
        <is>
          <t>Product owner / Manus coordination</t>
        </is>
      </c>
      <c r="J65" s="54" t="inlineStr">
        <is>
          <t>governance, verification</t>
        </is>
      </c>
      <c r="K65" s="54" t="inlineStr">
        <is>
          <t>Focused automated tests | Failure/recovery path where applicable | Evidence on main or explicit device limitation</t>
        </is>
      </c>
      <c r="L65" s="54" t="inlineStr"/>
      <c r="M65" s="54" t="inlineStr"/>
      <c r="N65" s="54" t="inlineStr">
        <is>
          <t>لا إجراء؛ التنفيذ موثق ومثبت في main. أعد الفتح فقط بدليل جديد.</t>
        </is>
      </c>
      <c r="O65" s="54" t="inlineStr"/>
      <c r="P65" s="54" t="inlineStr">
        <is>
          <t>https://github.com/Qays7753/Documents/tree/main/reports/2026/2026-09-19/layered-financial-management-audit-001</t>
        </is>
      </c>
      <c r="Q65" s="54" t="inlineStr">
        <is>
          <t>2026-09-19</t>
        </is>
      </c>
    </row>
    <row r="66">
      <c r="A66" s="54" t="inlineStr">
        <is>
          <t>HIST-001</t>
        </is>
      </c>
      <c r="B66" s="54" t="inlineStr">
        <is>
          <t>الموجة الأولى: إصلاحات حرجة محددة</t>
        </is>
      </c>
      <c r="C66" s="54" t="inlineStr">
        <is>
          <t>QUALITY</t>
        </is>
      </c>
      <c r="D66" s="54" t="inlineStr">
        <is>
          <t>VERIFIED</t>
        </is>
      </c>
      <c r="E66" s="54" t="inlineStr">
        <is>
          <t>HISTORICAL</t>
        </is>
      </c>
      <c r="F66" s="54" t="inlineStr">
        <is>
          <t>NOT_APPLICABLE</t>
        </is>
      </c>
      <c r="G66" s="54" t="inlineStr">
        <is>
          <t>P1</t>
        </is>
      </c>
      <c r="H66" s="54" t="inlineStr">
        <is>
          <t>completed</t>
        </is>
      </c>
      <c r="I66" s="54" t="inlineStr">
        <is>
          <t>Product owner / Manus coordination</t>
        </is>
      </c>
      <c r="J66" s="54" t="inlineStr">
        <is>
          <t>historical-evidence</t>
        </is>
      </c>
      <c r="K66" s="54" t="inlineStr">
        <is>
          <t>Focused automated tests | Failure/recovery path where applicable | Evidence on main or explicit device limitation</t>
        </is>
      </c>
      <c r="L66" s="54" t="inlineStr"/>
      <c r="M66" s="54" t="inlineStr"/>
      <c r="N66" s="54" t="inlineStr">
        <is>
          <t>لا إجراء؛ لا يُعاد فتحه إلا بدليل جديد وتصنيف REOPENED.</t>
        </is>
      </c>
      <c r="O66" s="54" t="inlineStr"/>
      <c r="P66" s="54" t="inlineStr">
        <is>
          <t>docs/operations/current-state.md</t>
        </is>
      </c>
      <c r="Q66" s="54" t="inlineStr">
        <is>
          <t>2026-09-17</t>
        </is>
      </c>
    </row>
    <row r="67">
      <c r="A67" s="54" t="inlineStr">
        <is>
          <t>HIST-002</t>
        </is>
      </c>
      <c r="B67" s="54" t="inlineStr">
        <is>
          <t>الموجة الثانية: الأساسات المالية والبيانية</t>
        </is>
      </c>
      <c r="C67" s="54" t="inlineStr">
        <is>
          <t>QUALITY</t>
        </is>
      </c>
      <c r="D67" s="54" t="inlineStr">
        <is>
          <t>VERIFIED</t>
        </is>
      </c>
      <c r="E67" s="54" t="inlineStr">
        <is>
          <t>HISTORICAL</t>
        </is>
      </c>
      <c r="F67" s="54" t="inlineStr">
        <is>
          <t>NOT_APPLICABLE</t>
        </is>
      </c>
      <c r="G67" s="54" t="inlineStr">
        <is>
          <t>P1</t>
        </is>
      </c>
      <c r="H67" s="54" t="inlineStr">
        <is>
          <t>completed</t>
        </is>
      </c>
      <c r="I67" s="54" t="inlineStr">
        <is>
          <t>Product owner / Manus coordination</t>
        </is>
      </c>
      <c r="J67" s="54" t="inlineStr">
        <is>
          <t>historical-evidence</t>
        </is>
      </c>
      <c r="K67" s="54" t="inlineStr">
        <is>
          <t>Focused automated tests | Failure/recovery path where applicable | Evidence on main or explicit device limitation</t>
        </is>
      </c>
      <c r="L67" s="54" t="inlineStr"/>
      <c r="M67" s="54" t="inlineStr"/>
      <c r="N67" s="54" t="inlineStr">
        <is>
          <t>لا إجراء؛ لا يُعاد فتحه إلا بدليل جديد وتصنيف REOPENED.</t>
        </is>
      </c>
      <c r="O67" s="54" t="inlineStr"/>
      <c r="P67" s="54" t="inlineStr">
        <is>
          <t>reports/agent-report/2026-09-17_wave-2-financial-data-foundations/report.md</t>
        </is>
      </c>
      <c r="Q67" s="54" t="inlineStr">
        <is>
          <t>2026-09-17</t>
        </is>
      </c>
    </row>
    <row r="68">
      <c r="A68" s="54" t="inlineStr">
        <is>
          <t>HIST-007</t>
        </is>
      </c>
      <c r="B68" s="54" t="inlineStr">
        <is>
          <t>الموجة 4.4: الجودة النظامية والقبول المحلي</t>
        </is>
      </c>
      <c r="C68" s="54" t="inlineStr">
        <is>
          <t>QUALITY</t>
        </is>
      </c>
      <c r="D68" s="54" t="inlineStr">
        <is>
          <t>VERIFIED</t>
        </is>
      </c>
      <c r="E68" s="54" t="inlineStr">
        <is>
          <t>HISTORICAL</t>
        </is>
      </c>
      <c r="F68" s="54" t="inlineStr">
        <is>
          <t>NOT_APPLICABLE</t>
        </is>
      </c>
      <c r="G68" s="54" t="inlineStr">
        <is>
          <t>P1</t>
        </is>
      </c>
      <c r="H68" s="54" t="inlineStr">
        <is>
          <t>completed</t>
        </is>
      </c>
      <c r="I68" s="54" t="inlineStr">
        <is>
          <t>Product owner / Manus coordination</t>
        </is>
      </c>
      <c r="J68" s="54" t="inlineStr">
        <is>
          <t>historical-evidence</t>
        </is>
      </c>
      <c r="K68" s="54" t="inlineStr">
        <is>
          <t>Focused automated tests | Failure/recovery path where applicable | Evidence on main or explicit device limitation</t>
        </is>
      </c>
      <c r="L68" s="54" t="inlineStr"/>
      <c r="M68" s="54" t="inlineStr"/>
      <c r="N68" s="54" t="inlineStr">
        <is>
          <t>لا إجراء؛ لا يُعاد فتحه إلا بدليل جديد وتصنيف REOPENED.</t>
        </is>
      </c>
      <c r="O68" s="54" t="inlineStr"/>
      <c r="P68" s="54" t="inlineStr">
        <is>
          <t>reports/agent-report/2026-09-18_wave-4-4-system-quality-final-qa/report.md</t>
        </is>
      </c>
      <c r="Q68" s="54" t="inlineStr">
        <is>
          <t>2026-09-18</t>
        </is>
      </c>
    </row>
    <row r="69">
      <c r="A69" s="54" t="inlineStr">
        <is>
          <t>HIST-003</t>
        </is>
      </c>
      <c r="B69" s="54" t="inlineStr">
        <is>
          <t>الموجة الثالثة: العقود والملكية التقنية</t>
        </is>
      </c>
      <c r="C69" s="54" t="inlineStr">
        <is>
          <t>QUALITY</t>
        </is>
      </c>
      <c r="D69" s="54" t="inlineStr">
        <is>
          <t>VERIFIED</t>
        </is>
      </c>
      <c r="E69" s="54" t="inlineStr">
        <is>
          <t>HISTORICAL</t>
        </is>
      </c>
      <c r="F69" s="54" t="inlineStr">
        <is>
          <t>NOT_APPLICABLE</t>
        </is>
      </c>
      <c r="G69" s="54" t="inlineStr">
        <is>
          <t>P2</t>
        </is>
      </c>
      <c r="H69" s="54" t="inlineStr">
        <is>
          <t>completed</t>
        </is>
      </c>
      <c r="I69" s="54" t="inlineStr">
        <is>
          <t>Product owner / Manus coordination</t>
        </is>
      </c>
      <c r="J69" s="54" t="inlineStr">
        <is>
          <t>historical-evidence</t>
        </is>
      </c>
      <c r="K69" s="54" t="inlineStr">
        <is>
          <t>Focused automated tests | Failure/recovery path where applicable | Evidence on main or explicit device limitation</t>
        </is>
      </c>
      <c r="L69" s="54" t="inlineStr"/>
      <c r="M69" s="54" t="inlineStr"/>
      <c r="N69" s="54" t="inlineStr">
        <is>
          <t>لا إجراء؛ لا يُعاد فتحه إلا بدليل جديد وتصنيف REOPENED.</t>
        </is>
      </c>
      <c r="O69" s="54" t="inlineStr"/>
      <c r="P69" s="54" t="inlineStr">
        <is>
          <t>docs/operations/current-state.md</t>
        </is>
      </c>
      <c r="Q69" s="54" t="inlineStr">
        <is>
          <t>2026-09-17</t>
        </is>
      </c>
    </row>
    <row r="70">
      <c r="A70" s="54" t="inlineStr">
        <is>
          <t>HIST-004</t>
        </is>
      </c>
      <c r="B70" s="54" t="inlineStr">
        <is>
          <t>الموجة 4.1: مخطط تجربة المنتج</t>
        </is>
      </c>
      <c r="C70" s="54" t="inlineStr">
        <is>
          <t>RESEARCH</t>
        </is>
      </c>
      <c r="D70" s="54" t="inlineStr">
        <is>
          <t>VERIFIED</t>
        </is>
      </c>
      <c r="E70" s="54" t="inlineStr">
        <is>
          <t>HISTORICAL</t>
        </is>
      </c>
      <c r="F70" s="54" t="inlineStr">
        <is>
          <t>NOT_APPLICABLE</t>
        </is>
      </c>
      <c r="G70" s="54" t="inlineStr">
        <is>
          <t>P2</t>
        </is>
      </c>
      <c r="H70" s="54" t="inlineStr">
        <is>
          <t>completed</t>
        </is>
      </c>
      <c r="I70" s="54" t="inlineStr">
        <is>
          <t>Product owner / Manus coordination</t>
        </is>
      </c>
      <c r="J70" s="54" t="inlineStr">
        <is>
          <t>historical-evidence</t>
        </is>
      </c>
      <c r="K70" s="54" t="inlineStr">
        <is>
          <t>Source/report comparison | Explicit unknowns and limits | Owner decision or pilot evidence</t>
        </is>
      </c>
      <c r="L70" s="54" t="inlineStr"/>
      <c r="M70" s="54" t="inlineStr"/>
      <c r="N70" s="54" t="inlineStr">
        <is>
          <t>لا إجراء؛ لا يُعاد فتحه إلا بدليل جديد وتصنيف REOPENED.</t>
        </is>
      </c>
      <c r="O70" s="54" t="inlineStr"/>
      <c r="P70" s="54" t="inlineStr">
        <is>
          <t>reports/agent-report/2026-09-17_wave-4-1-product-ux-blueprint/report.md</t>
        </is>
      </c>
      <c r="Q70" s="54" t="inlineStr">
        <is>
          <t>2026-09-17</t>
        </is>
      </c>
    </row>
    <row r="71">
      <c r="A71" s="54" t="inlineStr">
        <is>
          <t>HIST-005</t>
        </is>
      </c>
      <c r="B71" s="54" t="inlineStr">
        <is>
          <t>الموجة 4.2: الهيكل والتنقل والتسمية</t>
        </is>
      </c>
      <c r="C71" s="54" t="inlineStr">
        <is>
          <t>QUALITY</t>
        </is>
      </c>
      <c r="D71" s="54" t="inlineStr">
        <is>
          <t>VERIFIED</t>
        </is>
      </c>
      <c r="E71" s="54" t="inlineStr">
        <is>
          <t>HISTORICAL</t>
        </is>
      </c>
      <c r="F71" s="54" t="inlineStr">
        <is>
          <t>NOT_APPLICABLE</t>
        </is>
      </c>
      <c r="G71" s="54" t="inlineStr">
        <is>
          <t>P2</t>
        </is>
      </c>
      <c r="H71" s="54" t="inlineStr">
        <is>
          <t>completed</t>
        </is>
      </c>
      <c r="I71" s="54" t="inlineStr">
        <is>
          <t>Product owner / Manus coordination</t>
        </is>
      </c>
      <c r="J71" s="54" t="inlineStr">
        <is>
          <t>historical-evidence</t>
        </is>
      </c>
      <c r="K71" s="54" t="inlineStr">
        <is>
          <t>Focused automated tests | Failure/recovery path where applicable | Evidence on main or explicit device limitation</t>
        </is>
      </c>
      <c r="L71" s="54" t="inlineStr"/>
      <c r="M71" s="54" t="inlineStr"/>
      <c r="N71" s="54" t="inlineStr">
        <is>
          <t>لا إجراء؛ لا يُعاد فتحه إلا بدليل جديد وتصنيف REOPENED.</t>
        </is>
      </c>
      <c r="O71" s="54" t="inlineStr"/>
      <c r="P71" s="54" t="inlineStr">
        <is>
          <t>reports/agent-report/2026-09-17_wave-4-2-structure-navigation-naming/report.md</t>
        </is>
      </c>
      <c r="Q71" s="54" t="inlineStr">
        <is>
          <t>2026-09-17</t>
        </is>
      </c>
    </row>
    <row r="72">
      <c r="A72" s="54" t="inlineStr">
        <is>
          <t>HIST-006</t>
        </is>
      </c>
      <c r="B72" s="54" t="inlineStr">
        <is>
          <t>الموجة 4.3: إعادة بناء أسطح المنتج</t>
        </is>
      </c>
      <c r="C72" s="54" t="inlineStr">
        <is>
          <t>QUALITY</t>
        </is>
      </c>
      <c r="D72" s="54" t="inlineStr">
        <is>
          <t>VERIFIED</t>
        </is>
      </c>
      <c r="E72" s="54" t="inlineStr">
        <is>
          <t>HISTORICAL</t>
        </is>
      </c>
      <c r="F72" s="54" t="inlineStr">
        <is>
          <t>NOT_APPLICABLE</t>
        </is>
      </c>
      <c r="G72" s="54" t="inlineStr">
        <is>
          <t>P2</t>
        </is>
      </c>
      <c r="H72" s="54" t="inlineStr">
        <is>
          <t>completed</t>
        </is>
      </c>
      <c r="I72" s="54" t="inlineStr">
        <is>
          <t>Product owner / Manus coordination</t>
        </is>
      </c>
      <c r="J72" s="54" t="inlineStr">
        <is>
          <t>historical-evidence</t>
        </is>
      </c>
      <c r="K72" s="54" t="inlineStr">
        <is>
          <t>Focused automated tests | Failure/recovery path where applicable | Evidence on main or explicit device limitation</t>
        </is>
      </c>
      <c r="L72" s="54" t="inlineStr"/>
      <c r="M72" s="54" t="inlineStr"/>
      <c r="N72" s="54" t="inlineStr">
        <is>
          <t>لا إجراء؛ لا يُعاد فتحه إلا بدليل جديد وتصنيف REOPENED.</t>
        </is>
      </c>
      <c r="O72" s="54" t="inlineStr"/>
      <c r="P72" s="54" t="inlineStr">
        <is>
          <t>docs/operations/current-state.md</t>
        </is>
      </c>
      <c r="Q72" s="54" t="inlineStr">
        <is>
          <t>2026-09-18</t>
        </is>
      </c>
    </row>
  </sheetData>
  <mergeCells count="2">
    <mergeCell ref="A2:I2"/>
    <mergeCell ref="A3:I3"/>
  </mergeCells>
  <conditionalFormatting sqref="D9:D36">
    <cfRule type="containsText" priority="1" operator="containsText" dxfId="0" text="VERIFIED"/>
    <cfRule type="containsText" priority="2" operator="containsText" dxfId="1" text="BLOCKED"/>
    <cfRule type="containsText" priority="3" operator="containsText" dxfId="2" text="IN_REVIEW"/>
    <cfRule type="containsText" priority="4" operator="containsText" dxfId="3" text="READY"/>
    <cfRule type="containsText" priority="5" operator="containsText" dxfId="4" text="BACKLOG"/>
    <cfRule type="containsText" priority="6" operator="containsText" dxfId="5" text="DEFERRED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64" customWidth="1" min="3" max="3"/>
  </cols>
  <sheetData>
    <row r="1">
      <c r="A1" s="53" t="n"/>
      <c r="B1" s="53" t="n"/>
      <c r="C1" s="53" t="n"/>
    </row>
    <row r="2">
      <c r="A2" s="53" t="inlineStr">
        <is>
          <t>حالة البرنامج</t>
        </is>
      </c>
    </row>
    <row r="3">
      <c r="A3" s="54" t="n"/>
      <c r="B3" s="54" t="n"/>
      <c r="C3" s="54" t="n"/>
    </row>
    <row r="4">
      <c r="A4" s="53" t="inlineStr">
        <is>
          <t>المقياس</t>
        </is>
      </c>
      <c r="B4" s="53" t="inlineStr">
        <is>
          <t>القيمة</t>
        </is>
      </c>
      <c r="C4" s="53" t="inlineStr">
        <is>
          <t>المعنى</t>
        </is>
      </c>
    </row>
    <row r="5">
      <c r="A5" s="53" t="inlineStr">
        <is>
          <t>عدد البنود</t>
        </is>
      </c>
      <c r="B5" s="53" t="n">
        <v>64</v>
      </c>
      <c r="C5" s="53" t="inlineStr">
        <is>
          <t>المصدر: JSON Items</t>
        </is>
      </c>
    </row>
    <row r="6">
      <c r="A6" s="54" t="inlineStr">
        <is>
          <t>VERIFIED</t>
        </is>
      </c>
      <c r="B6" s="54" t="n">
        <v>12</v>
      </c>
      <c r="C6" s="54" t="inlineStr">
        <is>
          <t>مدمج ومثبت على main</t>
        </is>
      </c>
    </row>
    <row r="7">
      <c r="A7" s="54" t="inlineStr">
        <is>
          <t>REVIEW_REQUIRED / IN_REVIEW</t>
        </is>
      </c>
      <c r="B7" s="54" t="n">
        <v>7</v>
      </c>
      <c r="C7" s="54" t="inlineStr">
        <is>
          <t>يحتاج مراجعة أو قرارًا</t>
        </is>
      </c>
    </row>
    <row r="8">
      <c r="A8" t="inlineStr">
        <is>
          <t>IN_PROGRESS</t>
        </is>
      </c>
      <c r="B8" t="n">
        <v>0</v>
      </c>
      <c r="C8" t="inlineStr">
        <is>
          <t>تنفيذ جارٍ ضمن Claim نشط</t>
        </is>
      </c>
    </row>
    <row r="9">
      <c r="A9" s="53" t="inlineStr">
        <is>
          <t>BLOCKED / DEFERRED</t>
        </is>
      </c>
      <c r="B9" s="53" t="n">
        <v>28</v>
      </c>
      <c r="C9" s="53" t="inlineStr">
        <is>
          <t>بوابة أو دليل مؤجل</t>
        </is>
      </c>
    </row>
    <row r="10">
      <c r="A10" s="54" t="inlineStr">
        <is>
          <t>main SHA</t>
        </is>
      </c>
      <c r="B10" s="54" t="inlineStr">
        <is>
          <t>3702c90131472c7ebb117dc0d7d67cd96a47cfc6</t>
        </is>
      </c>
      <c r="C10" s="54" t="inlineStr">
        <is>
          <t>يجب تثبيته قبل أي تنفيذ</t>
        </is>
      </c>
    </row>
    <row r="11">
      <c r="A11" s="54" t="inlineStr">
        <is>
          <t>PRE-PILOT</t>
        </is>
      </c>
      <c r="B11" s="54" t="inlineStr">
        <is>
          <t>BLOCKED</t>
        </is>
      </c>
      <c r="C11" s="54" t="inlineStr">
        <is>
          <t>لا Pilot قبل تحقق required_items وقرار المالك</t>
        </is>
      </c>
    </row>
    <row r="12">
      <c r="A12" s="54" t="inlineStr">
        <is>
          <t>السياق الدائم</t>
        </is>
      </c>
      <c r="B12" s="54" t="inlineStr">
        <is>
          <t>docs/operations/control/context.md</t>
        </is>
      </c>
      <c r="C12" s="54" t="inlineStr">
        <is>
          <t>الخطة والأدوار ومصادر السلطة</t>
        </is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92" customWidth="1" min="3" max="3"/>
  </cols>
  <sheetData>
    <row r="1">
      <c r="A1" s="53" t="n"/>
      <c r="B1" s="53" t="n"/>
      <c r="C1" s="53" t="n"/>
    </row>
    <row r="2">
      <c r="A2" s="53" t="inlineStr">
        <is>
          <t>خارطة Micro الكاملة قبل الـPilot</t>
        </is>
      </c>
    </row>
    <row r="3">
      <c r="A3" s="54" t="n"/>
      <c r="B3" s="54" t="n"/>
      <c r="C3" s="54" t="n"/>
    </row>
    <row r="4">
      <c r="A4" s="53" t="inlineStr">
        <is>
          <t>المرحلة</t>
        </is>
      </c>
      <c r="B4" s="53" t="inlineStr">
        <is>
          <t>الموضوع</t>
        </is>
      </c>
      <c r="C4" s="53" t="inlineStr">
        <is>
          <t>شرط الخروج</t>
        </is>
      </c>
    </row>
    <row r="5">
      <c r="A5" s="53" t="n">
        <v>0</v>
      </c>
      <c r="B5" s="53" t="inlineStr">
        <is>
          <t>تصحيح التقارير والتراكر</t>
        </is>
      </c>
      <c r="C5" s="53" t="inlineStr">
        <is>
          <t>CTRL-001/CTRL-002؛ كل نتيجة لها Item أو mapping واعتماد المالك</t>
        </is>
      </c>
    </row>
    <row r="6">
      <c r="A6" s="54" t="n">
        <v>1</v>
      </c>
      <c r="B6" s="54" t="inlineStr">
        <is>
          <t>إصلاحات السلامة الستة</t>
        </is>
      </c>
      <c r="C6" s="54" t="inlineStr">
        <is>
          <t>G-001..G-006 مع اختبارات متخصصة ودليل main</t>
        </is>
      </c>
    </row>
    <row r="7">
      <c r="A7" s="54" t="n">
        <v>2</v>
      </c>
      <c r="B7" s="54" t="inlineStr">
        <is>
          <t>إكمال الطبقة التشغيلية</t>
        </is>
      </c>
      <c r="C7" s="54" t="inlineStr">
        <is>
          <t>OPS-001..OPS-009؛ لا Writer موازٍ ولا Snapshot صامتة؛ OPS-003 متطلب Gate قبل Pilot</t>
        </is>
      </c>
    </row>
    <row r="8">
      <c r="A8" s="53" t="n">
        <v>3</v>
      </c>
      <c r="B8" s="53" t="inlineStr">
        <is>
          <t>استكمال الطبقة المالية المتقدمة</t>
        </is>
      </c>
      <c r="C8" s="53" t="inlineStr">
        <is>
          <t>FIN-001..FIN-008؛ FIN-002/006/008 متطلبات Gate؛ FIN-008 يستخدم Clock قابلًا للحقن</t>
        </is>
      </c>
    </row>
    <row r="9">
      <c r="A9" s="54" t="n">
        <v>4</v>
      </c>
      <c r="B9" s="54" t="inlineStr">
        <is>
          <t>العناصر الجزئية والأسطح الزائدة</t>
        </is>
      </c>
      <c r="C9" s="54" t="inlineStr">
        <is>
          <t>CLEAN-001؛ لا Surface أو Route ميت</t>
        </is>
      </c>
    </row>
    <row r="10">
      <c r="A10" s="54" t="n">
        <v>5</v>
      </c>
      <c r="B10" s="54" t="inlineStr">
        <is>
          <t>إعادة تصميم UI/UX النهائية</t>
        </is>
      </c>
      <c r="C10" s="54" t="inlineStr">
        <is>
          <t>UX-001؛ اتجاه معتمد ورحلات RTL ووصول</t>
        </is>
      </c>
    </row>
    <row r="11">
      <c r="A11" s="54" t="n">
        <v>6</v>
      </c>
      <c r="B11" s="54" t="inlineStr">
        <is>
          <t>الصمود وسلامة البيانات المحلية</t>
        </is>
      </c>
      <c r="C11" s="54" t="inlineStr">
        <is>
          <t>REL-001؛ فشل/استعادة/بيانات كبيرة وأداء</t>
        </is>
      </c>
    </row>
    <row r="12">
      <c r="A12" s="54" t="n">
        <v>7</v>
      </c>
      <c r="B12" s="54" t="inlineStr">
        <is>
          <t>الأجهزة الحقيقية والوصول</t>
        </is>
      </c>
      <c r="C12" s="54" t="inlineStr">
        <is>
          <t>DEVICE-001؛ Android/WebKit/PWA ووصول فعلي</t>
        </is>
      </c>
    </row>
    <row r="13">
      <c r="A13" s="54" t="n">
        <v>8</v>
      </c>
      <c r="B13" s="54" t="inlineStr">
        <is>
          <t>المراجعة الأردنية المتخصصة</t>
        </is>
      </c>
      <c r="C13" s="54" t="inlineStr">
        <is>
          <t>LEGAL-001؛ مراجعة مختص وحدود الادعاء</t>
        </is>
      </c>
    </row>
    <row r="14">
      <c r="A14" s="54" t="n">
        <v>9</v>
      </c>
      <c r="B14" s="54" t="inlineStr">
        <is>
          <t>UAT وتدقيق القبول النهائي</t>
        </is>
      </c>
      <c r="C14" s="54" t="inlineStr">
        <is>
          <t>UAT-001/AUDIT-001؛ بيانات Demo وتدقيق مستقل</t>
        </is>
      </c>
    </row>
    <row r="15">
      <c r="A15" s="54" t="n">
        <v>10</v>
      </c>
      <c r="B15" s="54" t="inlineStr">
        <is>
          <t>قرار Pilot</t>
        </is>
      </c>
      <c r="C15" s="54" t="inlineStr">
        <is>
          <t>PILOT-001؛ كل required_items VERIFIED وقرار مالك</t>
        </is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10" customWidth="1" min="4" max="4"/>
    <col width="30" customWidth="1" min="5" max="5"/>
    <col width="70" customWidth="1" min="6" max="6"/>
  </cols>
  <sheetData>
    <row r="1">
      <c r="A1" s="53" t="n"/>
      <c r="B1" s="53" t="n"/>
      <c r="C1" s="53" t="n"/>
      <c r="D1" s="53" t="n"/>
      <c r="E1" s="53" t="n"/>
      <c r="F1" s="53" t="n"/>
    </row>
    <row r="2">
      <c r="A2" s="53" t="inlineStr">
        <is>
          <t>العمل الجاري والمراجعة</t>
        </is>
      </c>
    </row>
    <row r="3">
      <c r="A3" s="54" t="n"/>
      <c r="B3" s="54" t="n"/>
      <c r="C3" s="54" t="n"/>
      <c r="D3" s="54" t="n"/>
      <c r="E3" s="54" t="n"/>
      <c r="F3" s="54" t="n"/>
    </row>
    <row r="4">
      <c r="A4" s="53" t="inlineStr">
        <is>
          <t>ID</t>
        </is>
      </c>
      <c r="B4" s="53" t="inlineStr">
        <is>
          <t>الحالة</t>
        </is>
      </c>
      <c r="C4" s="53" t="inlineStr">
        <is>
          <t>الفرع</t>
        </is>
      </c>
      <c r="D4" s="53" t="inlineStr">
        <is>
          <t>PR</t>
        </is>
      </c>
      <c r="E4" s="53" t="inlineStr">
        <is>
          <t>البنود</t>
        </is>
      </c>
      <c r="F4" s="53" t="inlineStr">
        <is>
          <t>الخطوة التالية</t>
        </is>
      </c>
    </row>
    <row r="5">
      <c r="A5" s="53" t="inlineStr">
        <is>
          <t>WS-001</t>
        </is>
      </c>
      <c r="B5" s="53" t="inlineStr">
        <is>
          <t>VERIFIED</t>
        </is>
      </c>
      <c r="C5" s="53" t="inlineStr">
        <is>
          <t>docs/operations-control-v2</t>
        </is>
      </c>
      <c r="D5" s="53" t="n">
        <v>188</v>
      </c>
      <c r="E5" s="53" t="inlineStr">
        <is>
          <t>CTRL-001, CTRL-002</t>
        </is>
      </c>
      <c r="F5" s="53" t="inlineStr">
        <is>
          <t>لا إجراء؛ Workstream التوثيقي مغلق. يبدأ أي تنفيذ لاحق في Workstream مستقل من G-001..G-006.</t>
        </is>
      </c>
    </row>
    <row r="6">
      <c r="A6" s="54" t="inlineStr">
        <is>
          <t>WS-141</t>
        </is>
      </c>
      <c r="B6" s="54" t="inlineStr">
        <is>
          <t>SUPERSEDED</t>
        </is>
      </c>
      <c r="C6" s="54" t="inlineStr">
        <is>
          <t>legacy-pr-141</t>
        </is>
      </c>
      <c r="D6" s="54" t="n">
        <v>141</v>
      </c>
      <c r="E6" s="54" t="inlineStr">
        <is>
          <t>CLEAN-001</t>
        </is>
      </c>
      <c r="F6" s="54" t="inlineStr">
        <is>
          <t>لا إجراء؛ PR #141 مغلق موثقًا. احتفظ بالرابط كسجل تاريخي ولا تعاود المطالبة به.</t>
        </is>
      </c>
    </row>
    <row r="7">
      <c r="A7" s="54" t="inlineStr">
        <is>
          <t>WS-161</t>
        </is>
      </c>
      <c r="B7" s="54" t="inlineStr">
        <is>
          <t>SUPERSEDED</t>
        </is>
      </c>
      <c r="C7" s="54" t="inlineStr">
        <is>
          <t>report/deep-system-audit-20260916</t>
        </is>
      </c>
      <c r="D7" s="54" t="n">
        <v>161</v>
      </c>
      <c r="E7" s="54" t="inlineStr">
        <is>
          <t>AUDIT-001</t>
        </is>
      </c>
      <c r="F7" s="54" t="inlineStr">
        <is>
          <t>لا إجراء؛ PR #161 مغلق موثقًا. احتفظ بالرابط كسجل تاريخي ولا تعاود المطالبة به.</t>
        </is>
      </c>
    </row>
    <row r="8">
      <c r="A8" t="inlineStr">
        <is>
          <t>WS-162</t>
        </is>
      </c>
      <c r="B8" t="inlineStr">
        <is>
          <t>IN_REVIEW</t>
        </is>
      </c>
      <c r="C8" t="inlineStr">
        <is>
          <t>fix/pre-pilot-safety-a-b</t>
        </is>
      </c>
      <c r="D8" t="n">
        <v>190</v>
      </c>
      <c r="E8" t="inlineStr">
        <is>
          <t>G-001, G-002, G-003, G-006</t>
        </is>
      </c>
      <c r="F8" t="inlineStr">
        <is>
          <t>تنفيذ إصلاحات الحزمة أ مع الاختبارات المركزة ثم فتح PR للحزمة أ على الفرع fix/pre-pilot-safety-a-b.</t>
        </is>
      </c>
    </row>
  </sheetData>
  <mergeCells count="1"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4" customWidth="1" min="3" max="3"/>
    <col width="85" customWidth="1" min="4" max="4"/>
  </cols>
  <sheetData>
    <row r="1">
      <c r="A1" s="53" t="n"/>
      <c r="B1" s="53" t="n"/>
      <c r="C1" s="53" t="n"/>
      <c r="D1" s="53" t="n"/>
    </row>
    <row r="2">
      <c r="A2" s="53" t="inlineStr">
        <is>
          <t>المنجز والمتحقق على main</t>
        </is>
      </c>
    </row>
    <row r="3">
      <c r="A3" s="54" t="n"/>
      <c r="B3" s="54" t="n"/>
      <c r="C3" s="54" t="n"/>
      <c r="D3" s="54" t="n"/>
    </row>
    <row r="4">
      <c r="A4" s="53" t="inlineStr">
        <is>
          <t>ID</t>
        </is>
      </c>
      <c r="B4" s="53" t="inlineStr">
        <is>
          <t>العنوان</t>
        </is>
      </c>
      <c r="C4" s="53" t="inlineStr">
        <is>
          <t>Merge SHA</t>
        </is>
      </c>
      <c r="D4" s="53" t="inlineStr">
        <is>
          <t>دليل</t>
        </is>
      </c>
    </row>
    <row r="5">
      <c r="A5" s="53" t="inlineStr">
        <is>
          <t>CTRL-001</t>
        </is>
      </c>
      <c r="B5" s="53" t="inlineStr">
        <is>
          <t>اعتماد Operations Control v2</t>
        </is>
      </c>
      <c r="C5" s="53" t="inlineStr">
        <is>
          <t>e75419504d61a60141c1776a5bfa69ed1faeb529</t>
        </is>
      </c>
      <c r="D5" s="53" t="inlineStr">
        <is>
          <t>docs/operations/control/README.md
https://github.com/Qays7753/Micro/pull/188
docs/operations/control/generated/MASTER-TRACKER.md
docs/operations/control/generated/MASTER-TRACKER.xlsx</t>
        </is>
      </c>
    </row>
    <row r="6">
      <c r="A6" s="54" t="inlineStr">
        <is>
          <t>CTRL-002</t>
        </is>
      </c>
      <c r="B6" s="54" t="inlineStr">
        <is>
          <t>مصالحة القدرات والتقارير ومصادر الحقيقة</t>
        </is>
      </c>
      <c r="C6" s="54" t="inlineStr">
        <is>
          <t>e75419504d61a60141c1776a5bfa69ed1faeb529</t>
        </is>
      </c>
      <c r="D6" s="54" t="inlineStr">
        <is>
          <t>docs/operations/control/migration-map.md
docs/operations/control/evidence/capability-reconciliation.md
https://github.com/Qays7753/Micro/pull/188
docs/operations/control/releases/pre-pilot.json</t>
        </is>
      </c>
    </row>
    <row r="7">
      <c r="A7" s="54" t="inlineStr">
        <is>
          <t>HARD-009</t>
        </is>
      </c>
      <c r="B7" s="54" t="inlineStr">
        <is>
          <t>إثبات إغلاق مجموعة المعالجة 9</t>
        </is>
      </c>
      <c r="C7" s="54" t="inlineStr">
        <is>
          <t>255974a8cf66674e0a3dba477da9d9400cb28306</t>
        </is>
      </c>
      <c r="D7" s="54" t="inlineStr">
        <is>
          <t>docs/operations/control/evidence/hardening-main-verification.md
docs/operations/current-state.md</t>
        </is>
      </c>
    </row>
    <row r="8">
      <c r="A8" s="53" t="inlineStr">
        <is>
          <t>HARD-010</t>
        </is>
      </c>
      <c r="B8" s="53" t="inlineStr">
        <is>
          <t>إثبات إغلاق مجموعة المعالجة 10</t>
        </is>
      </c>
      <c r="C8" s="53" t="inlineStr">
        <is>
          <t>dcf60dbed79c09a06a46fcbad07e104277cb17de</t>
        </is>
      </c>
      <c r="D8" s="53" t="inlineStr">
        <is>
          <t>docs/operations/control/evidence/hardening-main-verification.md
docs/operations/current-state.md</t>
        </is>
      </c>
    </row>
    <row r="9">
      <c r="A9" s="54" t="inlineStr">
        <is>
          <t>HARD-011</t>
        </is>
      </c>
      <c r="B9" s="54" t="inlineStr">
        <is>
          <t>إثبات إغلاق مجموعة المعالجة 11</t>
        </is>
      </c>
      <c r="C9" s="54" t="inlineStr">
        <is>
          <t>79dac8e726b3cf5e682cb912b90d7c3757636f71</t>
        </is>
      </c>
      <c r="D9" s="54" t="inlineStr">
        <is>
          <t>docs/operations/control/evidence/hardening-main-verification.md
docs/operations/current-state.md</t>
        </is>
      </c>
    </row>
    <row r="10">
      <c r="A10" s="54" t="inlineStr">
        <is>
          <t>HIST-001</t>
        </is>
      </c>
      <c r="B10" s="54" t="inlineStr">
        <is>
          <t>الموجة الأولى: إصلاحات حرجة محددة</t>
        </is>
      </c>
      <c r="C10" s="54" t="inlineStr">
        <is>
          <t>5c54d8a</t>
        </is>
      </c>
      <c r="D10" s="54" t="inlineStr">
        <is>
          <t>docs/operations/current-state.md</t>
        </is>
      </c>
    </row>
    <row r="11">
      <c r="A11" s="54" t="inlineStr">
        <is>
          <t>HIST-002</t>
        </is>
      </c>
      <c r="B11" s="54" t="inlineStr">
        <is>
          <t>الموجة الثانية: الأساسات المالية والبيانية</t>
        </is>
      </c>
      <c r="C11" s="54" t="inlineStr">
        <is>
          <t>81d8d253984dee410c7fd6c3e461fcd0e76f327e</t>
        </is>
      </c>
      <c r="D11" s="54" t="inlineStr">
        <is>
          <t>reports/agent-report/2026-09-17_wave-2-financial-data-foundations/report.md</t>
        </is>
      </c>
    </row>
    <row r="12">
      <c r="A12" s="54" t="inlineStr">
        <is>
          <t>HIST-007</t>
        </is>
      </c>
      <c r="B12" s="54" t="inlineStr">
        <is>
          <t>الموجة 4.4: الجودة النظامية والقبول المحلي</t>
        </is>
      </c>
      <c r="C12" s="54" t="inlineStr">
        <is>
          <t>87ebcf2ffa74752bf385eff3a10962454b45d33e</t>
        </is>
      </c>
      <c r="D12" s="54" t="inlineStr">
        <is>
          <t>reports/agent-report/2026-09-18_wave-4-4-system-quality-final-qa/report.md</t>
        </is>
      </c>
    </row>
    <row r="13">
      <c r="A13" s="54" t="inlineStr">
        <is>
          <t>HIST-003</t>
        </is>
      </c>
      <c r="B13" s="54" t="inlineStr">
        <is>
          <t>الموجة الثالثة: العقود والملكية التقنية</t>
        </is>
      </c>
      <c r="C13" s="54" t="inlineStr">
        <is>
          <t>f8b37062c14aecf85abf5f64e11a191b00eb3c0d</t>
        </is>
      </c>
      <c r="D13" s="54" t="inlineStr">
        <is>
          <t>docs/operations/current-state.md</t>
        </is>
      </c>
    </row>
    <row r="14">
      <c r="A14" s="54" t="inlineStr">
        <is>
          <t>HIST-004</t>
        </is>
      </c>
      <c r="B14" s="54" t="inlineStr">
        <is>
          <t>الموجة 4.1: مخطط تجربة المنتج</t>
        </is>
      </c>
      <c r="C14" s="54" t="inlineStr">
        <is>
          <t>281a2878b61870792f76d651d0d822c7f0a5c0e1</t>
        </is>
      </c>
      <c r="D14" s="54" t="inlineStr">
        <is>
          <t>reports/agent-report/2026-09-17_wave-4-1-product-ux-blueprint/report.md</t>
        </is>
      </c>
    </row>
    <row r="15">
      <c r="A15" s="54" t="inlineStr">
        <is>
          <t>HIST-005</t>
        </is>
      </c>
      <c r="B15" s="54" t="inlineStr">
        <is>
          <t>الموجة 4.2: الهيكل والتنقل والتسمية</t>
        </is>
      </c>
      <c r="C15" s="54" t="inlineStr">
        <is>
          <t>9179ea785d7c35790c422a997fa210aaf7e875a6</t>
        </is>
      </c>
      <c r="D15" s="54" t="inlineStr">
        <is>
          <t>reports/agent-report/2026-09-17_wave-4-2-structure-navigation-naming/report.md</t>
        </is>
      </c>
    </row>
    <row r="16">
      <c r="A16" s="54" t="inlineStr">
        <is>
          <t>HIST-006</t>
        </is>
      </c>
      <c r="B16" s="54" t="inlineStr">
        <is>
          <t>الموجة 4.3: إعادة بناء أسطح المنتج</t>
        </is>
      </c>
      <c r="C16" s="54" t="inlineStr">
        <is>
          <t>e8a7b5a5f6678a4a93e3ab4c21814764f5895335</t>
        </is>
      </c>
      <c r="D16" s="54" t="inlineStr">
        <is>
          <t>docs/operations/current-state.md</t>
        </is>
      </c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54" customWidth="1" min="4" max="4"/>
    <col width="74" customWidth="1" min="5" max="5"/>
  </cols>
  <sheetData>
    <row r="1">
      <c r="A1" s="53" t="n"/>
      <c r="B1" s="53" t="n"/>
      <c r="C1" s="53" t="n"/>
      <c r="D1" s="53" t="n"/>
      <c r="E1" s="53" t="n"/>
    </row>
    <row r="2">
      <c r="A2" s="53" t="inlineStr">
        <is>
          <t>المحجوب والمؤجل والمحتاج مراجعة</t>
        </is>
      </c>
      <c r="E2" s="53" t="n"/>
    </row>
    <row r="3">
      <c r="A3" s="54" t="n"/>
      <c r="B3" s="54" t="n"/>
      <c r="C3" s="54" t="n"/>
      <c r="D3" s="54" t="n"/>
      <c r="E3" s="54" t="n"/>
    </row>
    <row r="4">
      <c r="A4" s="53" t="inlineStr">
        <is>
          <t>ID</t>
        </is>
      </c>
      <c r="B4" s="53" t="inlineStr">
        <is>
          <t>الحالة</t>
        </is>
      </c>
      <c r="C4" s="53" t="inlineStr">
        <is>
          <t>العنوان</t>
        </is>
      </c>
      <c r="D4" s="53" t="inlineStr">
        <is>
          <t>السبب أو القرار</t>
        </is>
      </c>
      <c r="E4" s="53" t="inlineStr">
        <is>
          <t>الخطوة التالية</t>
        </is>
      </c>
    </row>
    <row r="5">
      <c r="A5" s="53" t="inlineStr">
        <is>
          <t>DEVICE-001</t>
        </is>
      </c>
      <c r="B5" s="53" t="inlineStr">
        <is>
          <t>BLOCKED</t>
        </is>
      </c>
      <c r="C5" s="53" t="inlineStr">
        <is>
          <t>QA على أجهزة فعلية وWebKit وPWA</t>
        </is>
      </c>
      <c r="D5" s="53" t="inlineStr">
        <is>
          <t>الاعتماديات أو البيئة المطلوبة لم تكتمل: UX-001, REL-001</t>
        </is>
      </c>
      <c r="E5" s="53" t="inlineStr">
        <is>
          <t>أغلق سبب الحجب قبل بدء العمل؛ الاعتماديات الحالية: UX-001, REL-001.</t>
        </is>
      </c>
    </row>
    <row r="6">
      <c r="A6" s="54" t="inlineStr">
        <is>
          <t>LEGAL-001</t>
        </is>
      </c>
      <c r="B6" s="54" t="inlineStr">
        <is>
          <t>BLOCKED</t>
        </is>
      </c>
      <c r="C6" s="54" t="inlineStr">
        <is>
          <t>مراجعة أردنية مالية وقانونية</t>
        </is>
      </c>
      <c r="D6" s="54" t="inlineStr">
        <is>
          <t>الاعتماديات أو البيئة المطلوبة لم تكتمل: FIN-007</t>
        </is>
      </c>
      <c r="E6" s="54" t="inlineStr">
        <is>
          <t>أغلق سبب الحجب قبل بدء العمل؛ الاعتماديات الحالية: FIN-007.</t>
        </is>
      </c>
    </row>
    <row r="7">
      <c r="A7" s="54" t="inlineStr">
        <is>
          <t>PILOT-001</t>
        </is>
      </c>
      <c r="B7" s="54" t="inlineStr">
        <is>
          <t>BLOCKED</t>
        </is>
      </c>
      <c r="C7" s="54" t="inlineStr">
        <is>
          <t>قرار بدء Pilot</t>
        </is>
      </c>
      <c r="D7" s="54" t="inlineStr">
        <is>
          <t>المراحل 0–9 وبوابات المنتج والجهاز والقانون وUAT والتدقيق لم تثبت كلها VERIFIED على main.</t>
        </is>
      </c>
      <c r="E7" s="54" t="inlineStr">
        <is>
          <t>لا يصبح Ready ولا يبدأ قبل VERIFIED لكل required_items في PRE-PILOT، ثم قرار المالك؛ لا يبدأ تلقائيًا بنجاح CI.</t>
        </is>
      </c>
    </row>
    <row r="8">
      <c r="A8" s="53" t="inlineStr">
        <is>
          <t>G-001</t>
        </is>
      </c>
      <c r="B8" s="53" t="inlineStr">
        <is>
          <t>REVIEW_REQUIRED</t>
        </is>
      </c>
      <c r="C8" s="53" t="inlineStr">
        <is>
          <t>فخ الاستهلاك المزدوج عند التسليم</t>
        </is>
      </c>
      <c r="D8" s="53" t="inlineStr"/>
      <c r="E8" s="53" t="inlineStr">
        <is>
          <t>إغلاق الحارس على مستوى العرض والكتابة واختبار المسارين معًا.</t>
        </is>
      </c>
    </row>
    <row r="9">
      <c r="A9" s="54" t="inlineStr">
        <is>
          <t>GOV-001</t>
        </is>
      </c>
      <c r="B9" s="54" t="inlineStr">
        <is>
          <t>REVIEW_REQUIRED</t>
        </is>
      </c>
      <c r="C9" s="54" t="inlineStr">
        <is>
          <t>مصالحة G10-A مع تعارض عقد C1</t>
        </is>
      </c>
      <c r="D9" s="54" t="inlineStr">
        <is>
          <t>هل يوحّد G10-A عقد C1 أم يبقى مؤجلًا؟</t>
        </is>
      </c>
      <c r="E9" s="54" t="inlineStr">
        <is>
          <t>يُراجع التعارض مع المالك ثم يثبت القرار كعقد أو تأجيل؛ لا يبدأ تنفيذًا صامتًا.</t>
        </is>
      </c>
    </row>
    <row r="10">
      <c r="A10" s="54" t="inlineStr">
        <is>
          <t>G-002</t>
        </is>
      </c>
      <c r="B10" s="54" t="inlineStr">
        <is>
          <t>REVIEW_REQUIRED</t>
        </is>
      </c>
      <c r="C10" s="54" t="inlineStr">
        <is>
          <t>ذرية تخصيص دفعة المورد للمحفظة</t>
        </is>
      </c>
      <c r="D10" s="54" t="inlineStr"/>
      <c r="E10" s="54" t="inlineStr">
        <is>
          <t>مراجعة الدليل ثم فتح Claim مستقل لإصلاح الذرية وإعادة المحاولة.</t>
        </is>
      </c>
    </row>
    <row r="11">
      <c r="A11" s="54" t="inlineStr">
        <is>
          <t>G-003</t>
        </is>
      </c>
      <c r="B11" s="54" t="inlineStr">
        <is>
          <t>REVIEW_REQUIRED</t>
        </is>
      </c>
      <c r="C11" s="54" t="inlineStr">
        <is>
          <t>حرس القراءة القديمة عند حفظ الطلب</t>
        </is>
      </c>
      <c r="D11" s="54" t="inlineStr"/>
      <c r="E11" s="54" t="inlineStr">
        <is>
          <t>مراجعة الدليل ثم اعتماد عقد storage_stale قبل أي إصلاح.</t>
        </is>
      </c>
    </row>
    <row r="12">
      <c r="A12" s="54" t="inlineStr">
        <is>
          <t>G-004</t>
        </is>
      </c>
      <c r="B12" s="54" t="inlineStr">
        <is>
          <t>REVIEW_REQUIRED</t>
        </is>
      </c>
      <c r="C12" s="54" t="inlineStr">
        <is>
          <t>مطابقة تعطيل القدرات للوعد المرئي</t>
        </is>
      </c>
      <c r="D12" s="54" t="inlineStr"/>
      <c r="E12" s="54" t="inlineStr">
        <is>
          <t>مراجعة قرار الوعد ثم اختيار إصلاح العرض أو تضييق النص بعقد واضح.</t>
        </is>
      </c>
    </row>
    <row r="13">
      <c r="A13" s="54" t="inlineStr">
        <is>
          <t>G-005</t>
        </is>
      </c>
      <c r="B13" s="54" t="inlineStr">
        <is>
          <t>REVIEW_REQUIRED</t>
        </is>
      </c>
      <c r="C13" s="54" t="inlineStr">
        <is>
          <t>عزل فشل قراءات صفحة المالية</t>
        </is>
      </c>
      <c r="D13" s="54" t="inlineStr"/>
      <c r="E13" s="54" t="inlineStr">
        <is>
          <t>تقييم خطر القراءة ثم إنشاء Claim للتجزئة إذا أقر المالك النطاق.</t>
        </is>
      </c>
    </row>
    <row r="14">
      <c r="A14" s="54" t="inlineStr">
        <is>
          <t>G-006</t>
        </is>
      </c>
      <c r="B14" s="54" t="inlineStr">
        <is>
          <t>REVIEW_REQUIRED</t>
        </is>
      </c>
      <c r="C14" s="54" t="inlineStr">
        <is>
          <t>توحيد حرس السحب بين مساري مال المالك</t>
        </is>
      </c>
      <c r="D14" s="54" t="inlineStr"/>
      <c r="E14" s="54" t="inlineStr">
        <is>
          <t>مراجعة الملاحظة كتحسين P3 وتحديد ما إذا كان الحارس مطلوبًا قبل Pilot.</t>
        </is>
      </c>
    </row>
    <row r="15">
      <c r="A15" s="54" t="inlineStr">
        <is>
          <t>SCOPE-001</t>
        </is>
      </c>
      <c r="B15" s="54" t="inlineStr">
        <is>
          <t>DEFERRED</t>
        </is>
      </c>
      <c r="C15" s="54" t="inlineStr">
        <is>
          <t>بوابة POS وCRM وWhatsApp والمزامنة وAuth والصلاحيات وCloud</t>
        </is>
      </c>
      <c r="D15" s="54" t="inlineStr">
        <is>
          <t>OUT_OF_SCOPE؛ لا يدخل PRE-PILOT ولا يتحول إلى Feature قبل نطاق وعقد وقرار مستقل.</t>
        </is>
      </c>
      <c r="E15" s="54" t="inlineStr">
        <is>
          <t>لا تبدأ؛ أعد الفتح فقط بعد دليل، عقد، وقرار مالك مستقل خارج نطاق Pilot الحالي.</t>
        </is>
      </c>
    </row>
    <row r="16">
      <c r="A16" s="54" t="inlineStr">
        <is>
          <t>UX-001</t>
        </is>
      </c>
      <c r="B16" s="54" t="inlineStr">
        <is>
          <t>DEFERRED</t>
        </is>
      </c>
      <c r="C16" s="54" t="inlineStr">
        <is>
          <t>إعادة تصميم UI وUX جذرية</t>
        </is>
      </c>
      <c r="D16" s="54" t="inlineStr">
        <is>
          <t>تنفيذ مؤجل حتى استقرار الوظائف واعتماد الاتجاه وBenchmark، لكنه متطلب Gate قبل Pilot؛ لا يتجاوز بوابة الإصدار.</t>
        </is>
      </c>
      <c r="E16" s="54" t="inlineStr">
        <is>
          <t>اعتمد الاتجاه وBenchmark بعد استقرار الوظائف، ثم افتح Claim UI/UX؛ يبقى مطلوبًا قبل Pilot.</t>
        </is>
      </c>
    </row>
    <row r="17">
      <c r="A17" s="54" t="inlineStr">
        <is>
          <t>BE-001</t>
        </is>
      </c>
      <c r="B17" s="54" t="inlineStr">
        <is>
          <t>DEFERRED</t>
        </is>
      </c>
      <c r="C17" s="54" t="inlineStr">
        <is>
          <t>مصاريف متكررة محلية</t>
        </is>
      </c>
      <c r="D17" s="54" t="inlineStr">
        <is>
          <t>DUPLICATE_HISTORICAL؛ محفوظ للتتبع ولا يتجاوز البوابة ولا يفتح تنفيذًا موازيًا.</t>
        </is>
      </c>
      <c r="E17" s="54" t="inlineStr">
        <is>
          <t>لا تنشئ Claim مستقلًا؛ تابع ('DUPLICATE_HISTORICAL', 'OPS-003') بوصفه المالك الحي للقدرة، وأبقِ هذا السجل مرجعًا تاريخيًا.</t>
        </is>
      </c>
    </row>
    <row r="18">
      <c r="A18" s="54" t="inlineStr">
        <is>
          <t>BE-002</t>
        </is>
      </c>
      <c r="B18" s="54" t="inlineStr">
        <is>
          <t>DEFERRED</t>
        </is>
      </c>
      <c r="C18" s="54" t="inlineStr">
        <is>
          <t>ميزانيات وأهداف بسيطة</t>
        </is>
      </c>
      <c r="D18" s="54" t="inlineStr">
        <is>
          <t>DUPLICATE_HISTORICAL؛ محفوظ للتتبع ولا يتجاوز البوابة ولا يفتح تنفيذًا موازيًا.</t>
        </is>
      </c>
      <c r="E18" s="54" t="inlineStr">
        <is>
          <t>لا تنشئ Claim مستقلًا؛ تابع ('DUPLICATE_HISTORICAL', 'FIN-002') بوصفه المالك الحي للقدرة، وأبقِ هذا السجل مرجعًا تاريخيًا.</t>
        </is>
      </c>
    </row>
    <row r="19">
      <c r="A19" s="54" t="inlineStr">
        <is>
          <t>BE-003</t>
        </is>
      </c>
      <c r="B19" s="54" t="inlineStr">
        <is>
          <t>DEFERRED</t>
        </is>
      </c>
      <c r="C19" s="54" t="inlineStr">
        <is>
          <t>ربحية المنتج عبر الفترات بمعرف كتالوج ثابت</t>
        </is>
      </c>
      <c r="D19" s="54" t="inlineStr">
        <is>
          <t>DUPLICATE_HISTORICAL؛ محفوظ للتتبع ولا يتجاوز البوابة ولا يفتح تنفيذًا موازيًا.</t>
        </is>
      </c>
      <c r="E19" s="54" t="inlineStr">
        <is>
          <t>لا تنشئ Claim مستقلًا؛ تابع ('DUPLICATE_HISTORICAL', 'FIN-006') بوصفه المالك الحي للقدرة، وأبقِ هذا السجل مرجعًا تاريخيًا.</t>
        </is>
      </c>
    </row>
    <row r="20">
      <c r="A20" s="54" t="inlineStr">
        <is>
          <t>BE-004</t>
        </is>
      </c>
      <c r="B20" s="54" t="inlineStr">
        <is>
          <t>DEFERRED</t>
        </is>
      </c>
      <c r="C20" s="54" t="inlineStr">
        <is>
          <t>إغلاق فترة رسمي</t>
        </is>
      </c>
      <c r="D20" s="54" t="inlineStr">
        <is>
          <t>PILOT_EVIDENCE_REQUIRED؛ لا يبدأ قبل دليل Pilot وقرار مالك، ولا يمثل متطلبًا مستقلًا قبل Pilot.</t>
        </is>
      </c>
      <c r="E20" s="54" t="inlineStr">
        <is>
          <t>أضف السؤال إلى بروتوكول Pilot، ثم سجّل النتيجة والقرار قبل فتح أي تنفيذ.</t>
        </is>
      </c>
    </row>
    <row r="21">
      <c r="A21" s="54" t="inlineStr">
        <is>
          <t>BE-005</t>
        </is>
      </c>
      <c r="B21" s="54" t="inlineStr">
        <is>
          <t>DEFERRED</t>
        </is>
      </c>
      <c r="C21" s="54" t="inlineStr">
        <is>
          <t>تقادم الديون بشرائح 30/60/90</t>
        </is>
      </c>
      <c r="D21" s="54" t="inlineStr">
        <is>
          <t>PILOT_EVIDENCE_REQUIRED؛ لا يبدأ قبل دليل Pilot وقرار مالك، ولا يمثل متطلبًا مستقلًا قبل Pilot.</t>
        </is>
      </c>
      <c r="E21" s="54" t="inlineStr">
        <is>
          <t>أضف السؤال إلى بروتوكول Pilot، ثم سجّل النتيجة والقرار قبل فتح أي تنفيذ.</t>
        </is>
      </c>
    </row>
    <row r="22">
      <c r="A22" s="54" t="inlineStr">
        <is>
          <t>FIN-002</t>
        </is>
      </c>
      <c r="B22" s="54" t="inlineStr">
        <is>
          <t>DEFERRED</t>
        </is>
      </c>
      <c r="C22" s="54" t="inlineStr">
        <is>
          <t>ميزانيات وأهداف بسيطة</t>
        </is>
      </c>
      <c r="D22" s="54" t="inlineStr">
        <is>
          <t>تنفيذ مؤجل حتى اعتماد/إكمال الاعتماديات، لكنه متطلب Gate قبل Pilot؛ الميزانيات والأهداف المبسطة مطلوبة ضمن المرحلة 3.</t>
        </is>
      </c>
      <c r="E22" s="54" t="inlineStr">
        <is>
          <t>أكمل الاعتماديات، ثم افتح Claim لتنفيذ أبسط ميزانية/هدف مع اختبارات عدم خلط الخطة بالحدث المالي.</t>
        </is>
      </c>
    </row>
    <row r="23">
      <c r="A23" s="54" t="inlineStr">
        <is>
          <t>FIN-006</t>
        </is>
      </c>
      <c r="B23" s="54" t="inlineStr">
        <is>
          <t>DEFERRED</t>
        </is>
      </c>
      <c r="C23" s="54" t="inlineStr">
        <is>
          <t>ربحية المنتج بمعرف كتالوج ثابت</t>
        </is>
      </c>
      <c r="D23" s="54" t="inlineStr">
        <is>
          <t>تنفيذ مؤجل حتى اعتماد/إكمال الاعتماديات، لكنه متطلب Gate قبل Pilot؛ ربحية المنتجات/الخدمات بمعرف ثابت مطلوبة ضمن المرحلة 3.</t>
        </is>
      </c>
      <c r="E23" s="54" t="inlineStr">
        <is>
          <t>أكمل الاعتماديات، ثم افتح Claim لتنفيذ ربحية بمعرف كتالوج ثابت واختبارات Snapshot/الفترات.</t>
        </is>
      </c>
    </row>
    <row r="24">
      <c r="A24" s="54" t="inlineStr">
        <is>
          <t>FIN-008</t>
        </is>
      </c>
      <c r="B24" s="54" t="inlineStr">
        <is>
          <t>DEFERRED</t>
        </is>
      </c>
      <c r="C24" s="54" t="inlineStr">
        <is>
          <t>تحقق الإهلاك بعد مرور الزمن</t>
        </is>
      </c>
      <c r="D24" s="54" t="inlineStr">
        <is>
          <t>تنفيذ مؤجل حتى اعتماد/إكمال الاعتماديات، لكنه متطلب Gate قبل Pilot؛ اختبار الإهلاك يستخدم Clock قابلًا للحقن ولا ينتظر شهرًا حقيقيًا.</t>
        </is>
      </c>
      <c r="E24" s="54" t="inlineStr">
        <is>
          <t>صمّم/نفّذ اختبارًا باستخدام Clock قابل للحقن مع وقتين اصطناعيين على الأقل، ثم افتح Claim؛ لا تستخدم انتظارًا زمنيًا حقيقيًا.</t>
        </is>
      </c>
    </row>
    <row r="25">
      <c r="A25" s="54" t="inlineStr">
        <is>
          <t>OPS-003</t>
        </is>
      </c>
      <c r="B25" s="54" t="inlineStr">
        <is>
          <t>DEFERRED</t>
        </is>
      </c>
      <c r="C25" s="54" t="inlineStr">
        <is>
          <t>المصروفات المتكررة المحلية</t>
        </is>
      </c>
      <c r="D25" s="54" t="inlineStr">
        <is>
          <t>تنفيذ مؤجل حتى اعتماد/إكمال الاعتماديات، لكنه متطلب Gate قبل Pilot؛ التذكير لا ينشئ حدثًا ماليًا تلقائيًا ويحتاج تأكيد المستخدم.</t>
        </is>
      </c>
      <c r="E25" s="54" t="inlineStr">
        <is>
          <t>أكمل الاعتماديات، ثم افتح Claim لتنفيذ تذكير متكرر يحتاج تأكيد المستخدم؛ لا يكتب حدثًا ماليًا تلقائيًا.</t>
        </is>
      </c>
    </row>
    <row r="26">
      <c r="A26" s="54" t="inlineStr">
        <is>
          <t>SCOPE-002</t>
        </is>
      </c>
      <c r="B26" s="54" t="inlineStr">
        <is>
          <t>DEFERRED</t>
        </is>
      </c>
      <c r="C26" s="54" t="inlineStr">
        <is>
          <t>الموارد وقدرة المواد والتوسع التشغيلي</t>
        </is>
      </c>
      <c r="D26" s="54" t="inlineStr">
        <is>
          <t>OUT_OF_SCOPE؛ لا يدخل PRE-PILOT ولا يتحول إلى Feature قبل نطاق وعقد وقرار مستقل.</t>
        </is>
      </c>
      <c r="E26" s="54" t="inlineStr">
        <is>
          <t>لا تبدأ؛ أعد الفتح فقط بعد دليل، عقد، وقرار مالك مستقل خارج نطاق Pilot الحالي.</t>
        </is>
      </c>
    </row>
    <row r="27">
      <c r="A27" s="54" t="inlineStr">
        <is>
          <t>UX-002</t>
        </is>
      </c>
      <c r="B27" s="54" t="inlineStr">
        <is>
          <t>DEFERRED</t>
        </is>
      </c>
      <c r="C27" s="54" t="inlineStr">
        <is>
          <t>Backlog الموجة الرابعة في عقد الملكية</t>
        </is>
      </c>
      <c r="D27" s="54" t="inlineStr">
        <is>
          <t>OUT_OF_SCOPE؛ لا يدخل PRE-PILOT ولا يتحول إلى Feature قبل نطاق وعقد وقرار مستقل.</t>
        </is>
      </c>
      <c r="E27" s="54" t="inlineStr">
        <is>
          <t>لا تبدأ؛ أعد الفتح فقط بعد دليل، عقد، وقرار مالك مستقل خارج نطاق Pilot الحالي.</t>
        </is>
      </c>
    </row>
    <row r="28">
      <c r="A28" s="54" t="inlineStr">
        <is>
          <t>V-001</t>
        </is>
      </c>
      <c r="B28" s="54" t="inlineStr">
        <is>
          <t>DEFERRED</t>
        </is>
      </c>
      <c r="C28" s="54" t="inlineStr">
        <is>
          <t>V-01 — التقاط تواريخ استحقاق المشتريات</t>
        </is>
      </c>
      <c r="D28" s="54" t="inlineStr">
        <is>
          <t>PILOT_EVIDENCE_REQUIRED؛ فرضية تحقق أثناء Pilot وليست Feature قبل دليل وقرار.</t>
        </is>
      </c>
      <c r="E28" s="54" t="inlineStr">
        <is>
          <t>أضف السؤال إلى بروتوكول Pilot، ثم سجّل النتيجة والقرار قبل فتح أي تنفيذ.</t>
        </is>
      </c>
    </row>
    <row r="29">
      <c r="A29" s="54" t="inlineStr">
        <is>
          <t>V-002</t>
        </is>
      </c>
      <c r="B29" s="54" t="inlineStr">
        <is>
          <t>DEFERRED</t>
        </is>
      </c>
      <c r="C29" s="54" t="inlineStr">
        <is>
          <t>V-02 — متوقعات الكاش القصيرة</t>
        </is>
      </c>
      <c r="D29" s="54" t="inlineStr">
        <is>
          <t>PILOT_EVIDENCE_REQUIRED؛ فرضية تحقق أثناء Pilot وليست Feature قبل دليل وقرار.</t>
        </is>
      </c>
      <c r="E29" s="54" t="inlineStr">
        <is>
          <t>أضف السؤال إلى بروتوكول Pilot، ثم سجّل النتيجة والقرار قبل فتح أي تنفيذ.</t>
        </is>
      </c>
    </row>
    <row r="30">
      <c r="A30" s="54" t="inlineStr">
        <is>
          <t>V-003</t>
        </is>
      </c>
      <c r="B30" s="54" t="inlineStr">
        <is>
          <t>DEFERRED</t>
        </is>
      </c>
      <c r="C30" s="54" t="inlineStr">
        <is>
          <t>V-03 — أجندة القادم المجمعة بالتاريخ</t>
        </is>
      </c>
      <c r="D30" s="54" t="inlineStr">
        <is>
          <t>PILOT_EVIDENCE_REQUIRED؛ فرضية تحقق أثناء Pilot وليست Feature قبل دليل وقرار.</t>
        </is>
      </c>
      <c r="E30" s="54" t="inlineStr">
        <is>
          <t>أضف السؤال إلى بروتوكول Pilot، ثم سجّل النتيجة والقرار قبل فتح أي تنفيذ.</t>
        </is>
      </c>
    </row>
    <row r="31">
      <c r="A31" s="54" t="inlineStr">
        <is>
          <t>V-004</t>
        </is>
      </c>
      <c r="B31" s="54" t="inlineStr">
        <is>
          <t>DEFERRED</t>
        </is>
      </c>
      <c r="C31" s="54" t="inlineStr">
        <is>
          <t>V-04 — عرض التغطية عند قرار السحب</t>
        </is>
      </c>
      <c r="D31" s="54" t="inlineStr">
        <is>
          <t>PILOT_EVIDENCE_REQUIRED؛ فرضية تحقق أثناء Pilot وليست Feature قبل دليل وقرار.</t>
        </is>
      </c>
      <c r="E31" s="54" t="inlineStr">
        <is>
          <t>أضف السؤال إلى بروتوكول Pilot، ثم سجّل النتيجة والقرار قبل فتح أي تنفيذ.</t>
        </is>
      </c>
    </row>
    <row r="32">
      <c r="A32" s="54" t="inlineStr">
        <is>
          <t>V-005</t>
        </is>
      </c>
      <c r="B32" s="54" t="inlineStr">
        <is>
          <t>DEFERRED</t>
        </is>
      </c>
      <c r="C32" s="54" t="inlineStr">
        <is>
          <t>V-05 — مقارنة فترتين بسيطة</t>
        </is>
      </c>
      <c r="D32" s="54" t="inlineStr">
        <is>
          <t>PILOT_EVIDENCE_REQUIRED؛ فرضية تحقق أثناء Pilot وليست Feature قبل دليل وقرار.</t>
        </is>
      </c>
      <c r="E32" s="54" t="inlineStr">
        <is>
          <t>أضف السؤال إلى بروتوكول Pilot، ثم سجّل النتيجة والقرار قبل فتح أي تنفيذ.</t>
        </is>
      </c>
    </row>
    <row r="33">
      <c r="A33" s="54" t="inlineStr">
        <is>
          <t>V-006</t>
        </is>
      </c>
      <c r="B33" s="54" t="inlineStr">
        <is>
          <t>DEFERRED</t>
        </is>
      </c>
      <c r="C33" s="54" t="inlineStr">
        <is>
          <t>V-06 — جسر ربح إلى كاش رقمي</t>
        </is>
      </c>
      <c r="D33" s="54" t="inlineStr">
        <is>
          <t>PILOT_EVIDENCE_REQUIRED؛ فرضية تحقق أثناء Pilot وليست Feature قبل دليل وقرار.</t>
        </is>
      </c>
      <c r="E33" s="54" t="inlineStr">
        <is>
          <t>أضف السؤال إلى بروتوكول Pilot، ثم سجّل النتيجة والقرار قبل فتح أي تنفيذ.</t>
        </is>
      </c>
    </row>
    <row r="34">
      <c r="A34" s="54" t="inlineStr">
        <is>
          <t>V-007</t>
        </is>
      </c>
      <c r="B34" s="54" t="inlineStr">
        <is>
          <t>DEFERRED</t>
        </is>
      </c>
      <c r="C34" s="54" t="inlineStr">
        <is>
          <t>V-07 — تنبيه انخفاض المواد</t>
        </is>
      </c>
      <c r="D34" s="54" t="inlineStr">
        <is>
          <t>PILOT_EVIDENCE_REQUIRED؛ فرضية تحقق أثناء Pilot وليست Feature قبل دليل وقرار.</t>
        </is>
      </c>
      <c r="E34" s="54" t="inlineStr">
        <is>
          <t>أضف السؤال إلى بروتوكول Pilot، ثم سجّل النتيجة والقرار قبل فتح أي تنفيذ.</t>
        </is>
      </c>
    </row>
    <row r="35">
      <c r="A35" s="54" t="inlineStr">
        <is>
          <t>V-008</t>
        </is>
      </c>
      <c r="B35" s="54" t="inlineStr">
        <is>
          <t>DEFERRED</t>
        </is>
      </c>
      <c r="C35" s="54" t="inlineStr">
        <is>
          <t>V-08 — مصروف اليوم على الرئيسية</t>
        </is>
      </c>
      <c r="D35" s="54" t="inlineStr">
        <is>
          <t>PILOT_EVIDENCE_REQUIRED؛ فرضية تحقق أثناء Pilot وليست Feature قبل دليل وقرار.</t>
        </is>
      </c>
      <c r="E35" s="54" t="inlineStr">
        <is>
          <t>أضف السؤال إلى بروتوكول Pilot، ثم سجّل النتيجة والقرار قبل فتح أي تنفيذ.</t>
        </is>
      </c>
    </row>
    <row r="36">
      <c r="A36" s="54" t="inlineStr">
        <is>
          <t>V-009</t>
        </is>
      </c>
      <c r="B36" s="54" t="inlineStr">
        <is>
          <t>DEFERRED</t>
        </is>
      </c>
      <c r="C36" s="54" t="inlineStr">
        <is>
          <t>V-09 — رقم السحب الآمن الموحد</t>
        </is>
      </c>
      <c r="D36" s="54" t="inlineStr">
        <is>
          <t>PILOT_EVIDENCE_REQUIRED؛ فرضية تحقق أثناء Pilot وليست Feature قبل دليل وقرار.</t>
        </is>
      </c>
      <c r="E36" s="54" t="inlineStr">
        <is>
          <t>أضف السؤال إلى بروتوكول Pilot، ثم سجّل النتيجة والقرار قبل فتح أي تنفيذ.</t>
        </is>
      </c>
    </row>
    <row r="37">
      <c r="A37" s="54" t="inlineStr">
        <is>
          <t>V-010</t>
        </is>
      </c>
      <c r="B37" s="54" t="inlineStr">
        <is>
          <t>DEFERRED</t>
        </is>
      </c>
      <c r="C37" s="54" t="inlineStr">
        <is>
          <t>V-10 — كثافة صفحة المالية</t>
        </is>
      </c>
      <c r="D37" s="54" t="inlineStr">
        <is>
          <t>PILOT_EVIDENCE_REQUIRED؛ فرضية تحقق أثناء Pilot وليست Feature قبل دليل وقرار.</t>
        </is>
      </c>
      <c r="E37" s="54" t="inlineStr">
        <is>
          <t>أضف السؤال إلى بروتوكول Pilot، ثم سجّل النتيجة والقرار قبل فتح أي تنفيذ.</t>
        </is>
      </c>
    </row>
    <row r="38">
      <c r="A38" s="54" t="inlineStr">
        <is>
          <t>V-011</t>
        </is>
      </c>
      <c r="B38" s="54" t="inlineStr">
        <is>
          <t>DEFERRED</t>
        </is>
      </c>
      <c r="C38" s="54" t="inlineStr">
        <is>
          <t>V-11 — فهم نموذج التوزيع الصريح للكاش</t>
        </is>
      </c>
      <c r="D38" s="54" t="inlineStr">
        <is>
          <t>PILOT_EVIDENCE_REQUIRED؛ فرضية تحقق أثناء Pilot وليست Feature قبل دليل وقرار.</t>
        </is>
      </c>
      <c r="E38" s="54" t="inlineStr">
        <is>
          <t>أضف السؤال إلى بروتوكول Pilot، ثم سجّل النتيجة والقرار قبل فتح أي تنفيذ.</t>
        </is>
      </c>
    </row>
    <row r="39">
      <c r="A39" s="54" t="inlineStr">
        <is>
          <t>V-012</t>
        </is>
      </c>
      <c r="B39" s="54" t="inlineStr">
        <is>
          <t>DEFERRED</t>
        </is>
      </c>
      <c r="C39" s="54" t="inlineStr">
        <is>
          <t>V-12 — تسجيل الإهلاك بعد شهر استخدام</t>
        </is>
      </c>
      <c r="D39" s="54" t="inlineStr">
        <is>
          <t>PILOT_EVIDENCE_REQUIRED؛ فرضية تحقق أثناء Pilot وليست Feature قبل دليل وقرار.</t>
        </is>
      </c>
      <c r="E39" s="54" t="inlineStr">
        <is>
          <t>أضف السؤال إلى بروتوكول Pilot، ثم سجّل النتيجة والقرار قبل فتح أي تنفيذ.</t>
        </is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3" t="n"/>
      <c r="B1" s="53" t="n"/>
    </row>
    <row r="2">
      <c r="A2" s="53" t="inlineStr">
        <is>
          <t>قرارات ثابتة لا يعاد اختراعها</t>
        </is>
      </c>
    </row>
    <row r="3">
      <c r="A3" s="54" t="n"/>
      <c r="B3" s="54" t="n"/>
    </row>
    <row r="4">
      <c r="A4" s="53" t="inlineStr">
        <is>
          <t>الموضوع</t>
        </is>
      </c>
      <c r="B4" s="53" t="inlineStr">
        <is>
          <t>القرار</t>
        </is>
      </c>
    </row>
    <row r="5">
      <c r="A5" s="53" t="inlineStr">
        <is>
          <t>التاريخ</t>
        </is>
      </c>
      <c r="B5" s="53" t="inlineStr">
        <is>
          <t>16/09/2026؛ ومع الوقت 16/09/2026، 03:30 م</t>
        </is>
      </c>
    </row>
    <row r="6">
      <c r="A6" s="54" t="inlineStr">
        <is>
          <t>المنطقة الزمنية</t>
        </is>
      </c>
      <c r="B6" s="54" t="inlineStr">
        <is>
          <t>توقيت الجهاز للعرض وتخزين داخلي موحد</t>
        </is>
      </c>
    </row>
    <row r="7">
      <c r="A7" s="54" t="inlineStr">
        <is>
          <t>المجهول</t>
        </is>
      </c>
      <c r="B7" s="54" t="inlineStr">
        <is>
          <t>لا يساوي صفرًا</t>
        </is>
      </c>
    </row>
    <row r="8">
      <c r="A8" s="53" t="inlineStr">
        <is>
          <t>التحصيل</t>
        </is>
      </c>
      <c r="B8" s="53" t="inlineStr">
        <is>
          <t>ليس إيرادًا جديدًا</t>
        </is>
      </c>
    </row>
    <row r="9">
      <c r="A9" s="54" t="inlineStr">
        <is>
          <t>شراء المواد</t>
        </is>
      </c>
      <c r="B9" s="54" t="inlineStr">
        <is>
          <t>لا يصبح تكلفة بيع حتى الاستهلاك</t>
        </is>
      </c>
    </row>
    <row r="10">
      <c r="A10" s="54" t="inlineStr">
        <is>
          <t>سحب المالك</t>
        </is>
      </c>
      <c r="B10" s="54" t="inlineStr">
        <is>
          <t>ليس مصروفًا</t>
        </is>
      </c>
    </row>
    <row r="11">
      <c r="A11" s="54" t="inlineStr">
        <is>
          <t>النطاق الحالي</t>
        </is>
      </c>
      <c r="B11" s="54" t="inlineStr">
        <is>
          <t>Local-first لمالك واحد وجهاز واحد</t>
        </is>
      </c>
    </row>
    <row r="12">
      <c r="A12" s="54" t="inlineStr">
        <is>
          <t>السوق والتوصيل</t>
        </is>
      </c>
      <c r="B12" s="54" t="inlineStr">
        <is>
          <t>Future Scope قبل بوابتهما المستقلة</t>
        </is>
      </c>
    </row>
    <row r="13">
      <c r="A13" s="54" t="inlineStr">
        <is>
          <t>Pilot</t>
        </is>
      </c>
      <c r="B13" s="54" t="inlineStr">
        <is>
          <t>مؤجل حتى اكتمال البوابات وقرار المالك</t>
        </is>
      </c>
    </row>
    <row r="14">
      <c r="A14" s="54" t="inlineStr">
        <is>
          <t>UI/UX</t>
        </is>
      </c>
      <c r="B14" s="54" t="inlineStr">
        <is>
          <t>إعادة التصميم الجذرية بعد استقرار الوظائف والدليل</t>
        </is>
      </c>
    </row>
    <row r="15">
      <c r="A15" s="54" t="inlineStr">
        <is>
          <t>قرار/دليل ما زال مطلوبًا</t>
        </is>
      </c>
      <c r="B15" s="54" t="inlineStr">
        <is>
          <t>مصفوفة أدلة 49/46 ومصالحة عقد الزمن القديم مع تنفيذ Wave 4.4؛ CTRL-002</t>
        </is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>
      <c r="A2" s="53" t="inlineStr">
        <is>
          <t>فهرس التقارير</t>
        </is>
      </c>
    </row>
    <row r="3">
      <c r="A3" s="54" t="n"/>
      <c r="B3" s="54" t="n"/>
      <c r="C3" s="54" t="n"/>
      <c r="D3" s="54" t="n"/>
    </row>
    <row r="4">
      <c r="A4" s="53" t="inlineStr">
        <is>
          <t>ID</t>
        </is>
      </c>
      <c r="B4" s="53" t="inlineStr">
        <is>
          <t>النطاق</t>
        </is>
      </c>
      <c r="C4" s="53" t="inlineStr">
        <is>
          <t>الحالة</t>
        </is>
      </c>
      <c r="D4" s="53" t="inlineStr">
        <is>
          <t>المسار</t>
        </is>
      </c>
    </row>
    <row r="5">
      <c r="A5" s="53" t="inlineStr">
        <is>
          <t>AUDIT-2026-09-16</t>
        </is>
      </c>
      <c r="B5" s="53" t="inlineStr">
        <is>
          <t>deep audit</t>
        </is>
      </c>
      <c r="C5" s="53" t="inlineStr">
        <is>
          <t>OPEN_PR_161_HISTORICAL</t>
        </is>
      </c>
      <c r="D5" s="53" t="inlineStr">
        <is>
          <t>https://github.com/Qays7753/Micro/blob/report/deep-system-audit-20260916/reports/agent-report/2026-09-16_13-00-deep-system-audit/report.md</t>
        </is>
      </c>
    </row>
    <row r="6">
      <c r="A6" s="54" t="inlineStr">
        <is>
          <t>FINANCIAL-TRUST-2026-09-16</t>
        </is>
      </c>
      <c r="B6" s="54" t="inlineStr">
        <is>
          <t>financial trust baseline</t>
        </is>
      </c>
      <c r="C6" s="54" t="inlineStr">
        <is>
          <t>MERGED_HISTORICAL</t>
        </is>
      </c>
      <c r="D6" s="54" t="inlineStr">
        <is>
          <t>reports/agent-report/2026-09-16_00-25-financial-trust/report.md</t>
        </is>
      </c>
    </row>
    <row r="7">
      <c r="A7" s="54" t="inlineStr">
        <is>
          <t>WAVE-1</t>
        </is>
      </c>
      <c r="B7" s="54" t="inlineStr">
        <is>
          <t>correctness, truth, and safe state</t>
        </is>
      </c>
      <c r="C7" s="54" t="inlineStr">
        <is>
          <t>MERGED</t>
        </is>
      </c>
      <c r="D7" s="54" t="inlineStr">
        <is>
          <t>reports/agent-report/2026-09-16_15-30-wave-1-correctness-truth/report.md</t>
        </is>
      </c>
    </row>
    <row r="8">
      <c r="A8" s="53" t="inlineStr">
        <is>
          <t>WAVE-2</t>
        </is>
      </c>
      <c r="B8" s="53" t="inlineStr">
        <is>
          <t>financial/data foundations</t>
        </is>
      </c>
      <c r="C8" s="53" t="inlineStr">
        <is>
          <t>MERGED</t>
        </is>
      </c>
      <c r="D8" s="53" t="inlineStr">
        <is>
          <t>reports/agent-report/2026-09-17_wave-2-financial-data-foundations/report.md</t>
        </is>
      </c>
    </row>
    <row r="9">
      <c r="A9" s="54" t="inlineStr">
        <is>
          <t>WAVE-3</t>
        </is>
      </c>
      <c r="B9" s="54" t="inlineStr">
        <is>
          <t>technical contracts and ownership</t>
        </is>
      </c>
      <c r="C9" s="54" t="inlineStr">
        <is>
          <t>MERGED</t>
        </is>
      </c>
      <c r="D9" s="54" t="inlineStr">
        <is>
          <t>reports/agent-report/2026-09-17_wave-3-technical-contracts-ownership/report.md</t>
        </is>
      </c>
    </row>
    <row r="10">
      <c r="A10" s="54" t="inlineStr">
        <is>
          <t>WAVE-4-1</t>
        </is>
      </c>
      <c r="B10" s="54" t="inlineStr">
        <is>
          <t>product UX blueprint</t>
        </is>
      </c>
      <c r="C10" s="54" t="inlineStr">
        <is>
          <t>MERGED</t>
        </is>
      </c>
      <c r="D10" s="54" t="inlineStr">
        <is>
          <t>reports/agent-report/2026-09-17_wave-4-1-product-ux-blueprint/report.md</t>
        </is>
      </c>
    </row>
    <row r="11">
      <c r="A11" s="54" t="inlineStr">
        <is>
          <t>WAVE-4-2</t>
        </is>
      </c>
      <c r="B11" s="54" t="inlineStr">
        <is>
          <t>structure, navigation, and naming</t>
        </is>
      </c>
      <c r="C11" s="54" t="inlineStr">
        <is>
          <t>MERGED</t>
        </is>
      </c>
      <c r="D11" s="54" t="inlineStr">
        <is>
          <t>reports/agent-report/2026-09-17_wave-4-2-structure-navigation-naming/report.md</t>
        </is>
      </c>
    </row>
    <row r="12">
      <c r="A12" s="54" t="inlineStr">
        <is>
          <t>WAVE-4-3</t>
        </is>
      </c>
      <c r="B12" s="54" t="inlineStr">
        <is>
          <t>professional product surfaces</t>
        </is>
      </c>
      <c r="C12" s="54" t="inlineStr">
        <is>
          <t>MERGED</t>
        </is>
      </c>
      <c r="D12" s="54" t="inlineStr">
        <is>
          <t>reports/agent-report/2026-09-18_wave-4-3-professional-screens/report.md</t>
        </is>
      </c>
    </row>
    <row r="13">
      <c r="A13" s="54" t="inlineStr">
        <is>
          <t>WAVE-4-4</t>
        </is>
      </c>
      <c r="B13" s="54" t="inlineStr">
        <is>
          <t>system quality, accessibility, PWA, and final local QA</t>
        </is>
      </c>
      <c r="C13" s="54" t="inlineStr">
        <is>
          <t>MERGED</t>
        </is>
      </c>
      <c r="D13" s="54" t="inlineStr">
        <is>
          <t>reports/agent-report/2026-09-18_wave-4-4-system-quality-final-qa/report.md</t>
        </is>
      </c>
    </row>
    <row r="14">
      <c r="A14" s="54" t="inlineStr">
        <is>
          <t>LAYERED-FINANCIAL-2026-09-19</t>
        </is>
      </c>
      <c r="B14" s="54" t="inlineStr">
        <is>
          <t>layered financial management completeness and integration audit</t>
        </is>
      </c>
      <c r="C14" s="54" t="inlineStr">
        <is>
          <t>EXTERNAL_READ_ONLY_FINDINGS</t>
        </is>
      </c>
      <c r="D14" s="54" t="inlineStr">
        <is>
          <t>https://github.com/Qays7753/Documents/tree/main/reports/2026/2026-09-19/layered-financial-management-audit-001</t>
        </is>
      </c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6" customWidth="1" min="4" max="4"/>
    <col width="34" customWidth="1" min="5" max="5"/>
    <col width="34" customWidth="1" min="6" max="6"/>
  </cols>
  <sheetData>
    <row r="1">
      <c r="A1" s="53" t="n"/>
      <c r="B1" s="53" t="n"/>
      <c r="C1" s="53" t="n"/>
      <c r="D1" s="53" t="n"/>
      <c r="E1" s="53" t="n"/>
      <c r="F1" s="53" t="n"/>
    </row>
    <row r="2">
      <c r="A2" s="53" t="inlineStr">
        <is>
          <t>بوابات ما قبل الـPilot</t>
        </is>
      </c>
      <c r="D2" s="53" t="n"/>
      <c r="E2" s="53" t="n"/>
      <c r="F2" s="53" t="n"/>
    </row>
    <row r="3">
      <c r="A3" s="54" t="n"/>
      <c r="B3" s="54" t="n"/>
      <c r="C3" s="54" t="n"/>
      <c r="D3" s="54" t="n"/>
      <c r="E3" s="54" t="n"/>
      <c r="F3" s="54" t="n"/>
    </row>
    <row r="4">
      <c r="A4" s="53" t="inlineStr">
        <is>
          <t>ID</t>
        </is>
      </c>
      <c r="B4" s="53" t="inlineStr">
        <is>
          <t>الحالة الحالية</t>
        </is>
      </c>
      <c r="C4" s="53" t="inlineStr">
        <is>
          <t>العنوان</t>
        </is>
      </c>
      <c r="D4" s="53" t="inlineStr">
        <is>
          <t>التصنيف</t>
        </is>
      </c>
      <c r="E4" s="53" t="inlineStr">
        <is>
          <t>تصنيف البوابة</t>
        </is>
      </c>
      <c r="F4" s="53" t="inlineStr">
        <is>
          <t>الاعتماديات</t>
        </is>
      </c>
    </row>
    <row r="5">
      <c r="A5" s="53" t="inlineStr">
        <is>
          <t>CTRL-001</t>
        </is>
      </c>
      <c r="B5" s="53" t="inlineStr">
        <is>
          <t>VERIFIED</t>
        </is>
      </c>
      <c r="C5" s="53" t="inlineStr">
        <is>
          <t>اعتماد Operations Control v2</t>
        </is>
      </c>
      <c r="D5" s="53" t="inlineStr">
        <is>
          <t>GOVERNANCE</t>
        </is>
      </c>
      <c r="E5" s="53" t="inlineStr">
        <is>
          <t>NOT_APPLICABLE</t>
        </is>
      </c>
      <c r="F5" s="53" t="inlineStr">
        <is>
          <t>—</t>
        </is>
      </c>
    </row>
    <row r="6">
      <c r="A6" s="54" t="inlineStr">
        <is>
          <t>CTRL-002</t>
        </is>
      </c>
      <c r="B6" s="54" t="inlineStr">
        <is>
          <t>VERIFIED</t>
        </is>
      </c>
      <c r="C6" s="54" t="inlineStr">
        <is>
          <t>مصالحة القدرات والتقارير ومصادر الحقيقة</t>
        </is>
      </c>
      <c r="D6" s="54" t="inlineStr">
        <is>
          <t>GOVERNANCE</t>
        </is>
      </c>
      <c r="E6" s="54" t="inlineStr">
        <is>
          <t>EVIDENCE_RECONCILIATION_REQUIRED</t>
        </is>
      </c>
      <c r="F6" s="54" t="inlineStr">
        <is>
          <t>—</t>
        </is>
      </c>
    </row>
    <row r="7">
      <c r="A7" s="54" t="inlineStr">
        <is>
          <t>G-001</t>
        </is>
      </c>
      <c r="B7" s="54" t="inlineStr">
        <is>
          <t>REVIEW_REQUIRED</t>
        </is>
      </c>
      <c r="C7" s="54" t="inlineStr">
        <is>
          <t>فخ الاستهلاك المزدوج عند التسليم</t>
        </is>
      </c>
      <c r="D7" s="54" t="inlineStr">
        <is>
          <t>FIX_BEFORE_PILOT</t>
        </is>
      </c>
      <c r="E7" s="54" t="inlineStr">
        <is>
          <t>NOT_APPLICABLE</t>
        </is>
      </c>
      <c r="F7" s="54" t="inlineStr">
        <is>
          <t>—</t>
        </is>
      </c>
    </row>
    <row r="8">
      <c r="A8" s="53" t="inlineStr">
        <is>
          <t>G-002</t>
        </is>
      </c>
      <c r="B8" s="53" t="inlineStr">
        <is>
          <t>REVIEW_REQUIRED</t>
        </is>
      </c>
      <c r="C8" s="53" t="inlineStr">
        <is>
          <t>ذرية تخصيص دفعة المورد للمحفظة</t>
        </is>
      </c>
      <c r="D8" s="53" t="inlineStr">
        <is>
          <t>FIX_BEFORE_PILOT</t>
        </is>
      </c>
      <c r="E8" s="53" t="inlineStr">
        <is>
          <t>NOT_APPLICABLE</t>
        </is>
      </c>
      <c r="F8" s="53" t="inlineStr">
        <is>
          <t>—</t>
        </is>
      </c>
    </row>
    <row r="9">
      <c r="A9" s="54" t="inlineStr">
        <is>
          <t>G-003</t>
        </is>
      </c>
      <c r="B9" s="54" t="inlineStr">
        <is>
          <t>REVIEW_REQUIRED</t>
        </is>
      </c>
      <c r="C9" s="54" t="inlineStr">
        <is>
          <t>حرس القراءة القديمة عند حفظ الطلب</t>
        </is>
      </c>
      <c r="D9" s="54" t="inlineStr">
        <is>
          <t>FIX_BEFORE_PILOT</t>
        </is>
      </c>
      <c r="E9" s="54" t="inlineStr">
        <is>
          <t>NOT_APPLICABLE</t>
        </is>
      </c>
      <c r="F9" s="54" t="inlineStr">
        <is>
          <t>—</t>
        </is>
      </c>
    </row>
    <row r="10">
      <c r="A10" s="54" t="inlineStr">
        <is>
          <t>G-004</t>
        </is>
      </c>
      <c r="B10" s="54" t="inlineStr">
        <is>
          <t>REVIEW_REQUIRED</t>
        </is>
      </c>
      <c r="C10" s="54" t="inlineStr">
        <is>
          <t>مطابقة تعطيل القدرات للوعد المرئي</t>
        </is>
      </c>
      <c r="D10" s="54" t="inlineStr">
        <is>
          <t>FIX_BEFORE_PILOT</t>
        </is>
      </c>
      <c r="E10" s="54" t="inlineStr">
        <is>
          <t>NOT_APPLICABLE</t>
        </is>
      </c>
      <c r="F10" s="54" t="inlineStr">
        <is>
          <t>—</t>
        </is>
      </c>
    </row>
    <row r="11">
      <c r="A11" s="54" t="inlineStr">
        <is>
          <t>G-005</t>
        </is>
      </c>
      <c r="B11" s="54" t="inlineStr">
        <is>
          <t>REVIEW_REQUIRED</t>
        </is>
      </c>
      <c r="C11" s="54" t="inlineStr">
        <is>
          <t>عزل فشل قراءات صفحة المالية</t>
        </is>
      </c>
      <c r="D11" s="54" t="inlineStr">
        <is>
          <t>FIX_BEFORE_PILOT</t>
        </is>
      </c>
      <c r="E11" s="54" t="inlineStr">
        <is>
          <t>NOT_APPLICABLE</t>
        </is>
      </c>
      <c r="F11" s="54" t="inlineStr">
        <is>
          <t>—</t>
        </is>
      </c>
    </row>
    <row r="12">
      <c r="A12" s="54" t="inlineStr">
        <is>
          <t>G-006</t>
        </is>
      </c>
      <c r="B12" s="54" t="inlineStr">
        <is>
          <t>REVIEW_REQUIRED</t>
        </is>
      </c>
      <c r="C12" s="54" t="inlineStr">
        <is>
          <t>توحيد حرس السحب بين مساري مال المالك</t>
        </is>
      </c>
      <c r="D12" s="54" t="inlineStr">
        <is>
          <t>FIX_BEFORE_PILOT</t>
        </is>
      </c>
      <c r="E12" s="54" t="inlineStr">
        <is>
          <t>NOT_APPLICABLE</t>
        </is>
      </c>
      <c r="F12" s="54" t="inlineStr">
        <is>
          <t>—</t>
        </is>
      </c>
    </row>
    <row r="13">
      <c r="A13" s="54" t="inlineStr">
        <is>
          <t>OPS-001</t>
        </is>
      </c>
      <c r="B13" s="54" t="inlineStr">
        <is>
          <t>READY</t>
        </is>
      </c>
      <c r="C13" s="54" t="inlineStr">
        <is>
          <t>المواعيد والاستحقاقات وتقادم الذمم الأساسي</t>
        </is>
      </c>
      <c r="D13" s="54" t="inlineStr">
        <is>
          <t>FIX_BEFORE_PILOT</t>
        </is>
      </c>
      <c r="E13" s="54" t="inlineStr">
        <is>
          <t>NOT_APPLICABLE</t>
        </is>
      </c>
      <c r="F13" s="54" t="inlineStr">
        <is>
          <t>CTRL-001</t>
        </is>
      </c>
    </row>
    <row r="14">
      <c r="A14" s="54" t="inlineStr">
        <is>
          <t>OPS-002</t>
        </is>
      </c>
      <c r="B14" s="54" t="inlineStr">
        <is>
          <t>READY</t>
        </is>
      </c>
      <c r="C14" s="54" t="inlineStr">
        <is>
          <t>تنبيهات انخفاض المخزون</t>
        </is>
      </c>
      <c r="D14" s="54" t="inlineStr">
        <is>
          <t>FIX_BEFORE_PILOT</t>
        </is>
      </c>
      <c r="E14" s="54" t="inlineStr">
        <is>
          <t>NOT_APPLICABLE</t>
        </is>
      </c>
      <c r="F14" s="54" t="inlineStr">
        <is>
          <t>CTRL-001</t>
        </is>
      </c>
    </row>
    <row r="15">
      <c r="A15" s="54" t="inlineStr">
        <is>
          <t>OPS-003</t>
        </is>
      </c>
      <c r="B15" s="54" t="inlineStr">
        <is>
          <t>DEFERRED</t>
        </is>
      </c>
      <c r="C15" s="54" t="inlineStr">
        <is>
          <t>المصروفات المتكررة المحلية</t>
        </is>
      </c>
      <c r="D15" s="54" t="inlineStr">
        <is>
          <t>FIX_BEFORE_PILOT</t>
        </is>
      </c>
      <c r="E15" s="54" t="inlineStr">
        <is>
          <t>DEPENDENCY_GATE_REQUIRED_BEFORE_PILOT</t>
        </is>
      </c>
      <c r="F15" s="54" t="inlineStr">
        <is>
          <t>CTRL-001</t>
        </is>
      </c>
    </row>
    <row r="16">
      <c r="A16" s="54" t="inlineStr">
        <is>
          <t>OPS-004</t>
        </is>
      </c>
      <c r="B16" s="54" t="inlineStr">
        <is>
          <t>READY</t>
        </is>
      </c>
      <c r="C16" s="54" t="inlineStr">
        <is>
          <t>ربط القوالب بالتكلفة المخططة دون استهلاك فعلي</t>
        </is>
      </c>
      <c r="D16" s="54" t="inlineStr">
        <is>
          <t>FIX_BEFORE_PILOT</t>
        </is>
      </c>
      <c r="E16" s="54" t="inlineStr">
        <is>
          <t>NOT_APPLICABLE</t>
        </is>
      </c>
      <c r="F16" s="54" t="inlineStr">
        <is>
          <t>CTRL-001</t>
        </is>
      </c>
    </row>
    <row r="17">
      <c r="A17" s="54" t="inlineStr">
        <is>
          <t>OPS-005</t>
        </is>
      </c>
      <c r="B17" s="54" t="inlineStr">
        <is>
          <t>READY</t>
        </is>
      </c>
      <c r="C17" s="54" t="inlineStr">
        <is>
          <t>سطح قادم موحد للدفعات والتحصيلات والطلبات والالتزامات</t>
        </is>
      </c>
      <c r="D17" s="54" t="inlineStr">
        <is>
          <t>FIX_BEFORE_PILOT</t>
        </is>
      </c>
      <c r="E17" s="54" t="inlineStr">
        <is>
          <t>NOT_APPLICABLE</t>
        </is>
      </c>
      <c r="F17" s="54" t="inlineStr">
        <is>
          <t>CTRL-001, OPS-001</t>
        </is>
      </c>
    </row>
    <row r="18">
      <c r="A18" s="54" t="inlineStr">
        <is>
          <t>OPS-006</t>
        </is>
      </c>
      <c r="B18" s="54" t="inlineStr">
        <is>
          <t>READY</t>
        </is>
      </c>
      <c r="C18" s="54" t="inlineStr">
        <is>
          <t>تقادم ديون مبسط قبل الشرائح المتقدمة</t>
        </is>
      </c>
      <c r="D18" s="54" t="inlineStr">
        <is>
          <t>FIX_BEFORE_PILOT</t>
        </is>
      </c>
      <c r="E18" s="54" t="inlineStr">
        <is>
          <t>NOT_APPLICABLE</t>
        </is>
      </c>
      <c r="F18" s="54" t="inlineStr">
        <is>
          <t>CTRL-001, OPS-001</t>
        </is>
      </c>
    </row>
    <row r="19">
      <c r="A19" s="54" t="inlineStr">
        <is>
          <t>OPS-007</t>
        </is>
      </c>
      <c r="B19" s="54" t="inlineStr">
        <is>
          <t>READY</t>
        </is>
      </c>
      <c r="C19" s="54" t="inlineStr">
        <is>
          <t>مقارنة التكلفة المخططة بالمستهلكة والفرق</t>
        </is>
      </c>
      <c r="D19" s="54" t="inlineStr">
        <is>
          <t>FIX_BEFORE_PILOT</t>
        </is>
      </c>
      <c r="E19" s="54" t="inlineStr">
        <is>
          <t>NOT_APPLICABLE</t>
        </is>
      </c>
      <c r="F19" s="54" t="inlineStr">
        <is>
          <t>CTRL-001, OPS-004</t>
        </is>
      </c>
    </row>
    <row r="20">
      <c r="A20" s="54" t="inlineStr">
        <is>
          <t>OPS-008</t>
        </is>
      </c>
      <c r="B20" s="54" t="inlineStr">
        <is>
          <t>READY</t>
        </is>
      </c>
      <c r="C20" s="54" t="inlineStr">
        <is>
          <t>الوقت الفعلي مقابل المخطط</t>
        </is>
      </c>
      <c r="D20" s="54" t="inlineStr">
        <is>
          <t>FIX_BEFORE_PILOT</t>
        </is>
      </c>
      <c r="E20" s="54" t="inlineStr">
        <is>
          <t>NOT_APPLICABLE</t>
        </is>
      </c>
      <c r="F20" s="54" t="inlineStr">
        <is>
          <t>CTRL-001, OPS-004</t>
        </is>
      </c>
    </row>
    <row r="21">
      <c r="A21" s="54" t="inlineStr">
        <is>
          <t>OPS-009</t>
        </is>
      </c>
      <c r="B21" s="54" t="inlineStr">
        <is>
          <t>READY</t>
        </is>
      </c>
      <c r="C21" s="54" t="inlineStr">
        <is>
          <t>حماية Cost Snapshot وإعلان النتيجة النهائية أو التقديرية</t>
        </is>
      </c>
      <c r="D21" s="54" t="inlineStr">
        <is>
          <t>FIX_BEFORE_PILOT</t>
        </is>
      </c>
      <c r="E21" s="54" t="inlineStr">
        <is>
          <t>NOT_APPLICABLE</t>
        </is>
      </c>
      <c r="F21" s="54" t="inlineStr">
        <is>
          <t>CTRL-001, OPS-007</t>
        </is>
      </c>
    </row>
    <row r="22">
      <c r="A22" s="54" t="inlineStr">
        <is>
          <t>FIN-001</t>
        </is>
      </c>
      <c r="B22" s="54" t="inlineStr">
        <is>
          <t>READY</t>
        </is>
      </c>
      <c r="C22" s="54" t="inlineStr">
        <is>
          <t>تسجيل اقتراض داخل المشروع</t>
        </is>
      </c>
      <c r="D22" s="54" t="inlineStr">
        <is>
          <t>FIX_BEFORE_PILOT</t>
        </is>
      </c>
      <c r="E22" s="54" t="inlineStr">
        <is>
          <t>NOT_APPLICABLE</t>
        </is>
      </c>
      <c r="F22" s="54" t="inlineStr">
        <is>
          <t>CTRL-001</t>
        </is>
      </c>
    </row>
    <row r="23">
      <c r="A23" s="54" t="inlineStr">
        <is>
          <t>FIN-002</t>
        </is>
      </c>
      <c r="B23" s="54" t="inlineStr">
        <is>
          <t>DEFERRED</t>
        </is>
      </c>
      <c r="C23" s="54" t="inlineStr">
        <is>
          <t>ميزانيات وأهداف بسيطة</t>
        </is>
      </c>
      <c r="D23" s="54" t="inlineStr">
        <is>
          <t>FIX_BEFORE_PILOT</t>
        </is>
      </c>
      <c r="E23" s="54" t="inlineStr">
        <is>
          <t>DEPENDENCY_GATE_REQUIRED_BEFORE_PILOT</t>
        </is>
      </c>
      <c r="F23" s="54" t="inlineStr">
        <is>
          <t>CTRL-001</t>
        </is>
      </c>
    </row>
    <row r="24">
      <c r="A24" s="54" t="inlineStr">
        <is>
          <t>FIN-003</t>
        </is>
      </c>
      <c r="B24" s="54" t="inlineStr">
        <is>
          <t>READY</t>
        </is>
      </c>
      <c r="C24" s="54" t="inlineStr">
        <is>
          <t>مقارنة الفترات وجسر الربح إلى الكاش</t>
        </is>
      </c>
      <c r="D24" s="54" t="inlineStr">
        <is>
          <t>FIX_BEFORE_PILOT</t>
        </is>
      </c>
      <c r="E24" s="54" t="inlineStr">
        <is>
          <t>NOT_APPLICABLE</t>
        </is>
      </c>
      <c r="F24" s="54" t="inlineStr">
        <is>
          <t>FIN-001</t>
        </is>
      </c>
    </row>
    <row r="25">
      <c r="A25" s="54" t="inlineStr">
        <is>
          <t>FIN-004</t>
        </is>
      </c>
      <c r="B25" s="54" t="inlineStr">
        <is>
          <t>READY</t>
        </is>
      </c>
      <c r="C25" s="54" t="inlineStr">
        <is>
          <t>حد السحب الآمن للمالك</t>
        </is>
      </c>
      <c r="D25" s="54" t="inlineStr">
        <is>
          <t>FIX_BEFORE_PILOT</t>
        </is>
      </c>
      <c r="E25" s="54" t="inlineStr">
        <is>
          <t>NOT_APPLICABLE</t>
        </is>
      </c>
      <c r="F25" s="54" t="inlineStr">
        <is>
          <t>FIN-003, FIN-005</t>
        </is>
      </c>
    </row>
    <row r="26">
      <c r="A26" s="54" t="inlineStr">
        <is>
          <t>FIN-005</t>
        </is>
      </c>
      <c r="B26" s="54" t="inlineStr">
        <is>
          <t>READY</t>
        </is>
      </c>
      <c r="C26" s="54" t="inlineStr">
        <is>
          <t>توقع الكاش والتصريحات المتوقعة</t>
        </is>
      </c>
      <c r="D26" s="54" t="inlineStr">
        <is>
          <t>FIX_BEFORE_PILOT</t>
        </is>
      </c>
      <c r="E26" s="54" t="inlineStr">
        <is>
          <t>NOT_APPLICABLE</t>
        </is>
      </c>
      <c r="F26" s="54" t="inlineStr">
        <is>
          <t>OPS-001</t>
        </is>
      </c>
    </row>
    <row r="27">
      <c r="A27" s="54" t="inlineStr">
        <is>
          <t>FIN-006</t>
        </is>
      </c>
      <c r="B27" s="54" t="inlineStr">
        <is>
          <t>DEFERRED</t>
        </is>
      </c>
      <c r="C27" s="54" t="inlineStr">
        <is>
          <t>ربحية المنتج بمعرف كتالوج ثابت</t>
        </is>
      </c>
      <c r="D27" s="54" t="inlineStr">
        <is>
          <t>FIX_BEFORE_PILOT</t>
        </is>
      </c>
      <c r="E27" s="54" t="inlineStr">
        <is>
          <t>DEPENDENCY_GATE_REQUIRED_BEFORE_PILOT</t>
        </is>
      </c>
      <c r="F27" s="54" t="inlineStr">
        <is>
          <t>OPS-004</t>
        </is>
      </c>
    </row>
    <row r="28">
      <c r="A28" s="54" t="inlineStr">
        <is>
          <t>FIN-007</t>
        </is>
      </c>
      <c r="B28" s="54" t="inlineStr">
        <is>
          <t>READY</t>
        </is>
      </c>
      <c r="C28" s="54" t="inlineStr">
        <is>
          <t>مراجعة فترة مرنة</t>
        </is>
      </c>
      <c r="D28" s="54" t="inlineStr">
        <is>
          <t>FIX_BEFORE_PILOT</t>
        </is>
      </c>
      <c r="E28" s="54" t="inlineStr">
        <is>
          <t>NOT_APPLICABLE</t>
        </is>
      </c>
      <c r="F28" s="54" t="inlineStr">
        <is>
          <t>FIN-003</t>
        </is>
      </c>
    </row>
    <row r="29">
      <c r="A29" s="54" t="inlineStr">
        <is>
          <t>FIN-008</t>
        </is>
      </c>
      <c r="B29" s="54" t="inlineStr">
        <is>
          <t>DEFERRED</t>
        </is>
      </c>
      <c r="C29" s="54" t="inlineStr">
        <is>
          <t>تحقق الإهلاك بعد مرور الزمن</t>
        </is>
      </c>
      <c r="D29" s="54" t="inlineStr">
        <is>
          <t>FIX_BEFORE_PILOT</t>
        </is>
      </c>
      <c r="E29" s="54" t="inlineStr">
        <is>
          <t>DEPENDENCY_GATE_REQUIRED_BEFORE_PILOT</t>
        </is>
      </c>
      <c r="F29" s="54" t="inlineStr">
        <is>
          <t>—</t>
        </is>
      </c>
    </row>
    <row r="30">
      <c r="A30" s="54" t="inlineStr">
        <is>
          <t>CLEAN-001</t>
        </is>
      </c>
      <c r="B30" s="54" t="inlineStr">
        <is>
          <t>READY</t>
        </is>
      </c>
      <c r="C30" s="54" t="inlineStr">
        <is>
          <t>تنظيف الأسطح الجزئية والميتة</t>
        </is>
      </c>
      <c r="D30" s="54" t="inlineStr">
        <is>
          <t>FIX_BEFORE_PILOT</t>
        </is>
      </c>
      <c r="E30" s="54" t="inlineStr">
        <is>
          <t>NOT_APPLICABLE</t>
        </is>
      </c>
      <c r="F30" s="54" t="inlineStr">
        <is>
          <t>FIN-007, OPS-004</t>
        </is>
      </c>
    </row>
    <row r="31">
      <c r="A31" s="54" t="inlineStr">
        <is>
          <t>UX-001</t>
        </is>
      </c>
      <c r="B31" s="54" t="inlineStr">
        <is>
          <t>DEFERRED</t>
        </is>
      </c>
      <c r="C31" s="54" t="inlineStr">
        <is>
          <t>إعادة تصميم UI وUX جذرية</t>
        </is>
      </c>
      <c r="D31" s="54" t="inlineStr">
        <is>
          <t>FIX_BEFORE_PILOT</t>
        </is>
      </c>
      <c r="E31" s="54" t="inlineStr">
        <is>
          <t>DEPENDENCY_GATE_REQUIRED_BEFORE_PILOT</t>
        </is>
      </c>
      <c r="F31" s="54" t="inlineStr">
        <is>
          <t>CLEAN-001</t>
        </is>
      </c>
    </row>
    <row r="32">
      <c r="A32" s="54" t="inlineStr">
        <is>
          <t>REL-001</t>
        </is>
      </c>
      <c r="B32" s="54" t="inlineStr">
        <is>
          <t>READY</t>
        </is>
      </c>
      <c r="C32" s="54" t="inlineStr">
        <is>
          <t>اختبارات الصمود والفشل</t>
        </is>
      </c>
      <c r="D32" s="54" t="inlineStr">
        <is>
          <t>FIX_BEFORE_PILOT</t>
        </is>
      </c>
      <c r="E32" s="54" t="inlineStr">
        <is>
          <t>NOT_APPLICABLE</t>
        </is>
      </c>
      <c r="F32" s="54" t="inlineStr">
        <is>
          <t>CLEAN-001</t>
        </is>
      </c>
    </row>
    <row r="33">
      <c r="A33" s="54" t="inlineStr">
        <is>
          <t>DEVICE-001</t>
        </is>
      </c>
      <c r="B33" s="54" t="inlineStr">
        <is>
          <t>BLOCKED</t>
        </is>
      </c>
      <c r="C33" s="54" t="inlineStr">
        <is>
          <t>QA على أجهزة فعلية وWebKit وPWA</t>
        </is>
      </c>
      <c r="D33" s="54" t="inlineStr">
        <is>
          <t>FIX_BEFORE_PILOT</t>
        </is>
      </c>
      <c r="E33" s="54" t="inlineStr">
        <is>
          <t>NOT_APPLICABLE</t>
        </is>
      </c>
      <c r="F33" s="54" t="inlineStr">
        <is>
          <t>UX-001, REL-001</t>
        </is>
      </c>
    </row>
    <row r="34">
      <c r="A34" s="54" t="inlineStr">
        <is>
          <t>LEGAL-001</t>
        </is>
      </c>
      <c r="B34" s="54" t="inlineStr">
        <is>
          <t>BLOCKED</t>
        </is>
      </c>
      <c r="C34" s="54" t="inlineStr">
        <is>
          <t>مراجعة أردنية مالية وقانونية</t>
        </is>
      </c>
      <c r="D34" s="54" t="inlineStr">
        <is>
          <t>RELEASE_GATE</t>
        </is>
      </c>
      <c r="E34" s="54" t="inlineStr">
        <is>
          <t>NOT_APPLICABLE</t>
        </is>
      </c>
      <c r="F34" s="54" t="inlineStr">
        <is>
          <t>FIN-007</t>
        </is>
      </c>
    </row>
    <row r="35">
      <c r="A35" s="54" t="inlineStr">
        <is>
          <t>UAT-001</t>
        </is>
      </c>
      <c r="B35" s="54" t="inlineStr">
        <is>
          <t>BACKLOG</t>
        </is>
      </c>
      <c r="C35" s="54" t="inlineStr">
        <is>
          <t>قبول داخلي ببيانات Demo كاملة</t>
        </is>
      </c>
      <c r="D35" s="54" t="inlineStr">
        <is>
          <t>RELEASE_GATE</t>
        </is>
      </c>
      <c r="E35" s="54" t="inlineStr">
        <is>
          <t>NOT_APPLICABLE</t>
        </is>
      </c>
      <c r="F35" s="54" t="inlineStr">
        <is>
          <t>DEVICE-001, LEGAL-001</t>
        </is>
      </c>
    </row>
    <row r="36">
      <c r="A36" s="54" t="inlineStr">
        <is>
          <t>AUDIT-001</t>
        </is>
      </c>
      <c r="B36" s="54" t="inlineStr">
        <is>
          <t>BACKLOG</t>
        </is>
      </c>
      <c r="C36" s="54" t="inlineStr">
        <is>
          <t>تدقيق مستقل نهائي قبل الـPilot</t>
        </is>
      </c>
      <c r="D36" s="54" t="inlineStr">
        <is>
          <t>RELEASE_GATE</t>
        </is>
      </c>
      <c r="E36" s="54" t="inlineStr">
        <is>
          <t>NOT_APPLICABLE</t>
        </is>
      </c>
      <c r="F36" s="54" t="inlineStr">
        <is>
          <t>UAT-001</t>
        </is>
      </c>
    </row>
    <row r="37">
      <c r="A37" s="54" t="inlineStr">
        <is>
          <t>HARD-009</t>
        </is>
      </c>
      <c r="B37" s="54" t="inlineStr">
        <is>
          <t>VERIFIED</t>
        </is>
      </c>
      <c r="C37" s="54" t="inlineStr">
        <is>
          <t>إثبات إغلاق مجموعة المعالجة 9</t>
        </is>
      </c>
      <c r="D37" s="54" t="inlineStr">
        <is>
          <t>HARDENING</t>
        </is>
      </c>
      <c r="E37" s="54" t="inlineStr">
        <is>
          <t>MAIN_VERIFIED</t>
        </is>
      </c>
      <c r="F37" s="54" t="inlineStr">
        <is>
          <t>—</t>
        </is>
      </c>
    </row>
    <row r="38">
      <c r="A38" s="54" t="inlineStr">
        <is>
          <t>HARD-010</t>
        </is>
      </c>
      <c r="B38" s="54" t="inlineStr">
        <is>
          <t>VERIFIED</t>
        </is>
      </c>
      <c r="C38" s="54" t="inlineStr">
        <is>
          <t>إثبات إغلاق مجموعة المعالجة 10</t>
        </is>
      </c>
      <c r="D38" s="54" t="inlineStr">
        <is>
          <t>HARDENING</t>
        </is>
      </c>
      <c r="E38" s="54" t="inlineStr">
        <is>
          <t>MAIN_VERIFIED</t>
        </is>
      </c>
      <c r="F38" s="54" t="inlineStr">
        <is>
          <t>—</t>
        </is>
      </c>
    </row>
    <row r="39">
      <c r="A39" s="54" t="inlineStr">
        <is>
          <t>HARD-011</t>
        </is>
      </c>
      <c r="B39" s="54" t="inlineStr">
        <is>
          <t>VERIFIED</t>
        </is>
      </c>
      <c r="C39" s="54" t="inlineStr">
        <is>
          <t>إثبات إغلاق مجموعة المعالجة 11</t>
        </is>
      </c>
      <c r="D39" s="54" t="inlineStr">
        <is>
          <t>HARDENING</t>
        </is>
      </c>
      <c r="E39" s="54" t="inlineStr">
        <is>
          <t>MAIN_VERIFIED</t>
        </is>
      </c>
      <c r="F39" s="54" t="inlineStr">
        <is>
          <t>—</t>
        </is>
      </c>
    </row>
    <row r="40">
      <c r="A40" s="54" t="inlineStr">
        <is>
          <t>PILOT-001</t>
        </is>
      </c>
      <c r="B40" s="54" t="inlineStr">
        <is>
          <t>BLOCKED</t>
        </is>
      </c>
      <c r="C40" s="54" t="inlineStr">
        <is>
          <t>قرار بدء Pilot</t>
        </is>
      </c>
      <c r="D40" s="54" t="inlineStr">
        <is>
          <t>RELEASE_GATE</t>
        </is>
      </c>
      <c r="E40" s="54" t="inlineStr">
        <is>
          <t>RELEASE_GATE</t>
        </is>
      </c>
      <c r="F40" s="54" t="inlineStr">
        <is>
          <t>CTRL-001, CTRL-002, G-001, G-002, G-003, G-004, G-005, G-006, OPS-001, OPS-002, OPS-003, OPS-004, OPS-005, OPS-006, OPS-007, OPS-008, OPS-009, FIN-001, FIN-002, FIN-003, FIN-004, FIN-005, FIN-006, FIN-007, FIN-008, CLEAN-001, UX-001, REL-001, DEVICE-001, LEGAL-001, UAT-001, AUDIT-001, HARD-009, HARD-010, HARD-011</t>
        </is>
      </c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72" customWidth="1" min="3" max="3"/>
  </cols>
  <sheetData>
    <row r="1">
      <c r="A1" s="53" t="n"/>
      <c r="B1" s="53" t="n"/>
      <c r="C1" s="53" t="n"/>
    </row>
    <row r="2">
      <c r="A2" s="53" t="inlineStr">
        <is>
          <t>سجل تحديث نظام التحكم</t>
        </is>
      </c>
    </row>
    <row r="3">
      <c r="A3" s="54" t="n"/>
      <c r="B3" s="54" t="n"/>
      <c r="C3" s="54" t="n"/>
    </row>
    <row r="4">
      <c r="A4" s="53" t="inlineStr">
        <is>
          <t>التاريخ</t>
        </is>
      </c>
      <c r="B4" s="53" t="inlineStr">
        <is>
          <t>التغيير</t>
        </is>
      </c>
      <c r="C4" s="53" t="inlineStr">
        <is>
          <t>المرجع</t>
        </is>
      </c>
    </row>
    <row r="5">
      <c r="A5" s="53" t="inlineStr">
        <is>
          <t>2026-09-19</t>
        </is>
      </c>
      <c r="B5" s="53" t="inlineStr">
        <is>
          <t>إنشاء Operations Control v2 كامتداد للنظام القائم</t>
        </is>
      </c>
      <c r="C5" s="53" t="inlineStr">
        <is>
          <t>CTRL-001</t>
        </is>
      </c>
    </row>
    <row r="6">
      <c r="A6" s="54" t="inlineStr">
        <is>
          <t>2026-09-19</t>
        </is>
      </c>
      <c r="B6" s="54" t="inlineStr">
        <is>
          <t>إضافة status history وClaims ومصالحة todo واستيراد نتائج التدقيق المالي كعناصر غير مكتملة</t>
        </is>
      </c>
      <c r="C6" s="54" t="inlineStr">
        <is>
          <t>CTRL-001 / migration-map.md / LAYERED-FINANCIAL-2026-09-19</t>
        </is>
      </c>
    </row>
    <row r="7">
      <c r="A7" s="54" t="inlineStr">
        <is>
          <t>2026-09-19</t>
        </is>
      </c>
      <c r="B7" s="54" t="inlineStr">
        <is>
          <t>استكمال خطة المراحل 0–10، إضافة G-001..G-006 إلى بوابة PRE-PILOT، وإضافة السياق الدائم</t>
        </is>
      </c>
      <c r="C7" s="54" t="inlineStr">
        <is>
          <t>CTRL-002 / context.md / roadmap.md</t>
        </is>
      </c>
    </row>
    <row r="8">
      <c r="A8" s="53" t="inlineStr">
        <is>
          <t>2026-09-19</t>
        </is>
      </c>
      <c r="B8" s="53" t="inlineStr">
        <is>
          <t>تسجيل Gate Classification، إبقاء OPS-003/FIN-002/FIN-006/FIN-008/UX-001 متطلبات Gate، والتحقق من HARD-009..011 على main</t>
        </is>
      </c>
      <c r="C8" s="53" t="inlineStr">
        <is>
          <t>CTRL-002 / evidence/hardening-main-verification.md / pre-pilot.json</t>
        </is>
      </c>
    </row>
    <row r="9">
      <c r="A9" t="inlineStr">
        <is>
          <t>2026-09-20</t>
        </is>
      </c>
      <c r="B9" t="inlineStr">
        <is>
          <t>فتح Claim WS-162 وتحرك G-001/G-002/G-003/G-006 إلى IN_PROGRESS (الحزمة أ)</t>
        </is>
      </c>
      <c r="C9" t="inlineStr">
        <is>
          <t>WS-162</t>
        </is>
      </c>
    </row>
    <row r="10">
      <c r="A10" t="inlineStr">
        <is>
          <t>2026-09-20</t>
        </is>
      </c>
      <c r="B10" t="inlineStr">
        <is>
          <t>اكتمال تنفيذ الحزمة أ وفتح PR #190 — G-001/G-002/G-003/G-006 إلى IN_REVIEW</t>
        </is>
      </c>
      <c r="C10" t="inlineStr">
        <is>
          <t>WS-162 / PR #190</t>
        </is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2026-09-19T13:40:44Z</dcterms:created>
  <dcterms:modified xmlns:dcterms="http://purl.org/dc/terms/" xmlns:xsi="http://www.w3.org/2001/XMLSchema-instance" xsi:type="dcterms:W3CDTF">2026-09-19T23:04:41Z</dcterms:modified>
</cp:coreProperties>
</file>